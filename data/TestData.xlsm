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utomated_tests_ArgusOpenMarkets\AOM\AOMUI\automated_tests\tests\"/>
    </mc:Choice>
  </mc:AlternateContent>
  <bookViews>
    <workbookView xWindow="0" yWindow="0" windowWidth="20490" windowHeight="7740" tabRatio="852" activeTab="1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NDON.data" sheetId="15" r:id="rId6"/>
    <sheet name="Log" sheetId="12" r:id="rId7"/>
  </sheets>
  <definedNames>
    <definedName name="_xlnm._FilterDatabase" localSheetId="1" hidden="1">GLOBAL.data!$A$1:$M$331</definedName>
    <definedName name="_xlnm._FilterDatabase" localSheetId="2" hidden="1">LIVE.data!#REF!</definedName>
    <definedName name="_xlnm._FilterDatabase" localSheetId="5" hidden="1">LONDON.data!#REF!</definedName>
    <definedName name="_xlnm._FilterDatabase" localSheetId="3" hidden="1">SYSTEST.data!#REF!</definedName>
    <definedName name="_xlnm._FilterDatabase" localSheetId="4" hidden="1">UAT.data!#REF!</definedName>
  </definedNames>
  <calcPr calcId="152511"/>
</workbook>
</file>

<file path=xl/calcChain.xml><?xml version="1.0" encoding="utf-8"?>
<calcChain xmlns="http://schemas.openxmlformats.org/spreadsheetml/2006/main">
  <c r="B2" i="14" l="1"/>
  <c r="B2" i="1"/>
  <c r="B2" i="16"/>
  <c r="B2" i="15"/>
  <c r="F367" i="13" l="1"/>
  <c r="E367" i="13"/>
  <c r="D367" i="13"/>
  <c r="C367" i="13"/>
  <c r="B367" i="13"/>
  <c r="F365" i="13"/>
  <c r="E365" i="13"/>
  <c r="D365" i="13"/>
  <c r="C365" i="13"/>
  <c r="B365" i="13"/>
  <c r="F363" i="13"/>
  <c r="E363" i="13"/>
  <c r="D363" i="13"/>
  <c r="C363" i="13"/>
  <c r="B363" i="13"/>
  <c r="F361" i="13"/>
  <c r="E361" i="13"/>
  <c r="D361" i="13"/>
  <c r="C361" i="13"/>
  <c r="B361" i="13"/>
  <c r="F359" i="13"/>
  <c r="E359" i="13"/>
  <c r="D359" i="13"/>
  <c r="C359" i="13"/>
  <c r="B359" i="13"/>
  <c r="F357" i="13"/>
  <c r="E357" i="13"/>
  <c r="D357" i="13"/>
  <c r="C357" i="13"/>
  <c r="B357" i="13"/>
  <c r="E298" i="13"/>
  <c r="E295" i="13"/>
  <c r="E292" i="13"/>
  <c r="E289" i="13"/>
  <c r="E286" i="13"/>
  <c r="E283" i="13"/>
  <c r="E280" i="13"/>
  <c r="E277" i="13"/>
  <c r="E274" i="13"/>
  <c r="E271" i="13"/>
  <c r="E268" i="13"/>
  <c r="E265" i="13"/>
  <c r="D80" i="13"/>
  <c r="D79" i="13"/>
  <c r="D78" i="13"/>
  <c r="D74" i="13"/>
  <c r="D73" i="13"/>
  <c r="D72" i="13"/>
  <c r="D69" i="13"/>
  <c r="D68" i="13"/>
  <c r="D67" i="13"/>
  <c r="D66" i="13"/>
  <c r="D65" i="13"/>
  <c r="D62" i="13"/>
  <c r="D61" i="13"/>
  <c r="D60" i="13"/>
  <c r="D59" i="13"/>
  <c r="D56" i="13"/>
  <c r="D55" i="13"/>
  <c r="D54" i="13"/>
  <c r="D53" i="13"/>
  <c r="D52" i="13"/>
</calcChain>
</file>

<file path=xl/sharedStrings.xml><?xml version="1.0" encoding="utf-8"?>
<sst xmlns="http://schemas.openxmlformats.org/spreadsheetml/2006/main" count="978" uniqueCount="298">
  <si>
    <t>password1</t>
  </si>
  <si>
    <t>password2</t>
  </si>
  <si>
    <t>password</t>
  </si>
  <si>
    <t>key</t>
  </si>
  <si>
    <t>OrderHold</t>
  </si>
  <si>
    <t>price</t>
  </si>
  <si>
    <t>product1</t>
  </si>
  <si>
    <t>quantity1</t>
  </si>
  <si>
    <t>product2</t>
  </si>
  <si>
    <t>quantity2</t>
  </si>
  <si>
    <t>price2</t>
  </si>
  <si>
    <t>username</t>
  </si>
  <si>
    <t>product</t>
  </si>
  <si>
    <t>quantity</t>
  </si>
  <si>
    <t>deliverystart</t>
  </si>
  <si>
    <t>deliveryend</t>
  </si>
  <si>
    <t>broker</t>
  </si>
  <si>
    <t>05/01/2015</t>
  </si>
  <si>
    <t>OrderExecute.Initiator</t>
  </si>
  <si>
    <t>OrderExecute</t>
  </si>
  <si>
    <t>OrderCreateAsPrincipal</t>
  </si>
  <si>
    <t>bidprice1</t>
  </si>
  <si>
    <t>bidprice2</t>
  </si>
  <si>
    <t>askprice1</t>
  </si>
  <si>
    <t>askprice2</t>
  </si>
  <si>
    <t>StkClrMine</t>
  </si>
  <si>
    <t>Orange</t>
  </si>
  <si>
    <t>StkClrOther</t>
  </si>
  <si>
    <t>White</t>
  </si>
  <si>
    <t>username1</t>
  </si>
  <si>
    <t>username2</t>
  </si>
  <si>
    <t>bidprice</t>
  </si>
  <si>
    <t>askprice</t>
  </si>
  <si>
    <t>OrderKill</t>
  </si>
  <si>
    <t>OrderKillHeld</t>
  </si>
  <si>
    <t>OrderKillHeld.Initiator</t>
  </si>
  <si>
    <t>OrderReinstate</t>
  </si>
  <si>
    <t>OrderUpdate</t>
  </si>
  <si>
    <t>OrderUpdateHeld</t>
  </si>
  <si>
    <t>updatedquantity</t>
  </si>
  <si>
    <t>updatedbidprice1</t>
  </si>
  <si>
    <t>updatedbidprice2</t>
  </si>
  <si>
    <t>updatedaskprice2</t>
  </si>
  <si>
    <t>updatedaskprice1</t>
  </si>
  <si>
    <t>updatedbidprice</t>
  </si>
  <si>
    <t>delay</t>
  </si>
  <si>
    <t>expectedmessage</t>
  </si>
  <si>
    <t>organisation</t>
  </si>
  <si>
    <t>AOMEnvironmentSetup</t>
  </si>
  <si>
    <t>initialquantity</t>
  </si>
  <si>
    <t>OrderConcurrencyCleanup.Initiator</t>
  </si>
  <si>
    <t>OrderConcurrencyExecutedBeforeKill.Observer1</t>
  </si>
  <si>
    <t>OrderConcurrencyExecutedBeforeHold.Initiator</t>
  </si>
  <si>
    <t>OrderConcurrencyExecutedBeforeHold.Observer1</t>
  </si>
  <si>
    <t>OrderConcurrencyExecutedBeforeExecute.Initiator</t>
  </si>
  <si>
    <t>OrderConcurrencyExecutedBeforeExecute.Observer1</t>
  </si>
  <si>
    <t>OrderConcurrencyExecutedBeforeReinstate.Initiator</t>
  </si>
  <si>
    <t>OrderConcurrencyExecutedBeforeReinstate.Observer1</t>
  </si>
  <si>
    <t>OrderConcurrencyKilledBeforeKill.Initiator</t>
  </si>
  <si>
    <t>OrderConcurrencyKilledBeforeKill.Observer1</t>
  </si>
  <si>
    <t>OrderConcurrencyKilledBeforeHold.Initiator</t>
  </si>
  <si>
    <t>OrderConcurrencyKilledBeforeHold.Observer1</t>
  </si>
  <si>
    <t>OrderConcurrencyKilledBeforeExecute.Initiator</t>
  </si>
  <si>
    <t>OrderConcurrencyKilledBeforeExecute.Observer1</t>
  </si>
  <si>
    <t>OrderConcurrencyKilledBeforeReinstate.Initiator</t>
  </si>
  <si>
    <t>OrderConcurrencyKilledBeforeReinstate.Observer1</t>
  </si>
  <si>
    <t>OrderConcurrencyKilledBeforeUpdate</t>
  </si>
  <si>
    <t>OrderConcurrencyKilledBeforeKill</t>
  </si>
  <si>
    <t>OrderConcurrencyKilledBeforeHold</t>
  </si>
  <si>
    <t>OrderConcurrencyKilledBeforeExecute</t>
  </si>
  <si>
    <t>OrderConcurrencyKilledBeforeReinstate</t>
  </si>
  <si>
    <t>OrderConcurrencyExecutedBeforeUpdate</t>
  </si>
  <si>
    <t>OrderConcurrencyExecutedBeforeKill</t>
  </si>
  <si>
    <t>OrderConcurrencyExecutedBeforeHold</t>
  </si>
  <si>
    <t>OrderConcurrencyExecutedBeforeExecute</t>
  </si>
  <si>
    <t>OrderConcurrencyKilledBeforeUpdate.Initiator</t>
  </si>
  <si>
    <t>OrderConcurrencyExecutedBeforeUpdate.Initiator</t>
  </si>
  <si>
    <t>OrderConcurrencyExecutedBeforeKill.Initiator</t>
  </si>
  <si>
    <t>OrderConcurrencyKilledBeforeUpdate.Observer1</t>
  </si>
  <si>
    <t>OrderConcurrencyExecutedBeforeUpdate.Observer1</t>
  </si>
  <si>
    <t>OrderConcurrencyUpdatedBeforeUpdate</t>
  </si>
  <si>
    <t>OrderConcurrencyUpdatedBeforeKill</t>
  </si>
  <si>
    <t>OrderConcurrencyUpdatedBeforeHold</t>
  </si>
  <si>
    <t>OrderConcurrencyUpdatedBeforeExecute</t>
  </si>
  <si>
    <t>OrderConcurrencyUpdatedBeforeReinstate</t>
  </si>
  <si>
    <t>OrderConcurrencyUpdatedBeforeUpdate.Initiator</t>
  </si>
  <si>
    <t>OrderConcurrencyUpdatedBeforeUpdate.Observer1</t>
  </si>
  <si>
    <t>OrderConcurrencyUpdatedBeforeKill.Initiator</t>
  </si>
  <si>
    <t>OrderConcurrencyUpdatedBeforeKill.Observer1</t>
  </si>
  <si>
    <t>OrderConcurrencyUpdatedBeforeHold.Initiator</t>
  </si>
  <si>
    <t>OrderConcurrencyUpdatedBeforeHold.Observer1</t>
  </si>
  <si>
    <t>OrderConcurrencyUpdatedBeforeExecute.Initiator</t>
  </si>
  <si>
    <t>OrderConcurrencyUpdatedBeforeExecute.Observer1</t>
  </si>
  <si>
    <t>OrderConcurrencyUpdatedBeforeReinstate.Initiator</t>
  </si>
  <si>
    <t>OrderConcurrencyUpdatedBeforeReinstate.Observer1</t>
  </si>
  <si>
    <t>OrderConcurrencyHeldBeforeUpdate</t>
  </si>
  <si>
    <t>OrderConcurrencyHeldBeforeKill</t>
  </si>
  <si>
    <t>OrderConcurrencyHeldBeforeHold</t>
  </si>
  <si>
    <t>OrderConcurrencyHeldBeforeExecute</t>
  </si>
  <si>
    <t>OrderConcurrencyHeldBeforeUpdate.Observer1</t>
  </si>
  <si>
    <t>OrderConcurrencyHeldBeforeKill.Initiator</t>
  </si>
  <si>
    <t>OrderConcurrencyHeldBeforeKill.Observer1</t>
  </si>
  <si>
    <t>OrderConcurrencyHeldBeforeHold.Initiator</t>
  </si>
  <si>
    <t>OrderConcurrencyHeldBeforeHold.Observer1</t>
  </si>
  <si>
    <t>OrderConcurrencyHeldBeforeExecute.Initiator</t>
  </si>
  <si>
    <t>OrderConcurrencyHeldBeforeExecute.Observer1</t>
  </si>
  <si>
    <t>OrderConcurrencyHeldBeforeUpdate.Initiator</t>
  </si>
  <si>
    <t>OrderConcurrencyExecutedBeforeExecute.Observer2</t>
  </si>
  <si>
    <t>Order has already been executed</t>
  </si>
  <si>
    <t>naphthacargoes</t>
  </si>
  <si>
    <t>naphthabarges</t>
  </si>
  <si>
    <t>OrderConcurrencyReinstatedBeforeUpdate</t>
  </si>
  <si>
    <t>OrderConcurrencyReinstatedBeforeKill</t>
  </si>
  <si>
    <t>OrderConcurrencyReinstatedBeforeReinstate</t>
  </si>
  <si>
    <t>OrderConcurrencyReinstatedBeforeUpdate.Observer1</t>
  </si>
  <si>
    <t>OrderConcurrencyReinstatedBeforeKill.Initiator</t>
  </si>
  <si>
    <t>OrderConcurrencyReinstatedBeforeKill.Observer1</t>
  </si>
  <si>
    <t>OrderConcurrencyReinstatedBeforeReinstate.Initiator</t>
  </si>
  <si>
    <t>OrderConcurrencyReinstatedBeforeReinstate.Observer1</t>
  </si>
  <si>
    <t>OrderConcurrencyReinstatedBeforeUpdate.Initiator</t>
  </si>
  <si>
    <t>Argus Media</t>
  </si>
  <si>
    <t>DealCreateAsPrincipal</t>
  </si>
  <si>
    <t>contract</t>
  </si>
  <si>
    <t>location</t>
  </si>
  <si>
    <t>buyer</t>
  </si>
  <si>
    <t>seller</t>
  </si>
  <si>
    <t>Rotterdam</t>
  </si>
  <si>
    <t>DealCreateAsBroker</t>
  </si>
  <si>
    <t>DealCreateAsEditorPending</t>
  </si>
  <si>
    <t>DealCreateAsEditorVerified</t>
  </si>
  <si>
    <t>DealVerifyPending</t>
  </si>
  <si>
    <t>DealVoidPending</t>
  </si>
  <si>
    <t>DealConcurrencyPrincipalCreateEditorVerify</t>
  </si>
  <si>
    <t>DealConcurrencyBrokerCreateEditorVerify</t>
  </si>
  <si>
    <t>DealEditPending</t>
  </si>
  <si>
    <t>DealVerifyForPrincipal</t>
  </si>
  <si>
    <t>DealVerifyForBroker</t>
  </si>
  <si>
    <t>DealVerifyForEditor</t>
  </si>
  <si>
    <t>DealVoidNew</t>
  </si>
  <si>
    <t>AS</t>
  </si>
  <si>
    <t>AJ</t>
  </si>
  <si>
    <t>BS</t>
  </si>
  <si>
    <t>BJ</t>
  </si>
  <si>
    <t>ZS</t>
  </si>
  <si>
    <t>VS</t>
  </si>
  <si>
    <t>Editor2</t>
  </si>
  <si>
    <t>ZJ</t>
  </si>
  <si>
    <t>Alpha Trading</t>
  </si>
  <si>
    <t>Bravo Trading</t>
  </si>
  <si>
    <t>Zulu Brokerage</t>
  </si>
  <si>
    <t>Victor Brokerage</t>
  </si>
  <si>
    <t>Password12</t>
  </si>
  <si>
    <t>NAPHTHA CIF NWE - CARGOES</t>
  </si>
  <si>
    <t>Editor1</t>
  </si>
  <si>
    <t>{RANDOM(100, 2000, 50)}</t>
  </si>
  <si>
    <t>{SEQUENCE(100, 2)}</t>
  </si>
  <si>
    <t>{INCREMENT(23, 3)}</t>
  </si>
  <si>
    <t>Default</t>
  </si>
  <si>
    <t>Default.Initiator</t>
  </si>
  <si>
    <t>Default.Editor</t>
  </si>
  <si>
    <t>Default.Observer1</t>
  </si>
  <si>
    <t>Default.Observer2</t>
  </si>
  <si>
    <t>Default.Observer3</t>
  </si>
  <si>
    <t>Default.Observer4</t>
  </si>
  <si>
    <t>Default.Observer5</t>
  </si>
  <si>
    <t>Default.Observer6</t>
  </si>
  <si>
    <t>Default.Observer7</t>
  </si>
  <si>
    <t>Log</t>
  </si>
  <si>
    <t>broker2</t>
  </si>
  <si>
    <t>StkClrNonTradable</t>
  </si>
  <si>
    <t>DoveGrey</t>
  </si>
  <si>
    <t>OrderSimpleCreateAsPrincipal</t>
  </si>
  <si>
    <t>OrderSimpleHold</t>
  </si>
  <si>
    <t>OrderSimpleKill</t>
  </si>
  <si>
    <t>OrderSimpleKillHeld</t>
  </si>
  <si>
    <t>OrderSimpleReinstate</t>
  </si>
  <si>
    <t>OrderSimpleUpdate</t>
  </si>
  <si>
    <t>updatedquantity1</t>
  </si>
  <si>
    <t>updatedquantity2</t>
  </si>
  <si>
    <t>OrderSimpleUpdateHeld</t>
  </si>
  <si>
    <t>OrderSimpleExecute</t>
  </si>
  <si>
    <t>OrderSimpleExecute.Initiator</t>
  </si>
  <si>
    <t>OrderSimpleCleanup</t>
  </si>
  <si>
    <t>quantity11</t>
  </si>
  <si>
    <t>quantity12</t>
  </si>
  <si>
    <t>quantity13</t>
  </si>
  <si>
    <t>quantity14</t>
  </si>
  <si>
    <t>quantity15</t>
  </si>
  <si>
    <t>bidprice11</t>
  </si>
  <si>
    <t>bidprice12</t>
  </si>
  <si>
    <t>bidprice13</t>
  </si>
  <si>
    <t>bidprice14</t>
  </si>
  <si>
    <t>bidprice15</t>
  </si>
  <si>
    <t>askprice11</t>
  </si>
  <si>
    <t>askprice12</t>
  </si>
  <si>
    <t>askprice13</t>
  </si>
  <si>
    <t>askprice14</t>
  </si>
  <si>
    <t>askprice15</t>
  </si>
  <si>
    <t>bidprice21</t>
  </si>
  <si>
    <t>bidprice22</t>
  </si>
  <si>
    <t>bidprice23</t>
  </si>
  <si>
    <t>bidprice24</t>
  </si>
  <si>
    <t>bidprice25</t>
  </si>
  <si>
    <t>askprice21</t>
  </si>
  <si>
    <t>askprice22</t>
  </si>
  <si>
    <t>askprice23</t>
  </si>
  <si>
    <t>askprice24</t>
  </si>
  <si>
    <t>askprice25</t>
  </si>
  <si>
    <t>quantity21</t>
  </si>
  <si>
    <t>quantity22</t>
  </si>
  <si>
    <t>quantity23</t>
  </si>
  <si>
    <t>quantity24</t>
  </si>
  <si>
    <t>quantity25</t>
  </si>
  <si>
    <t>MarketInfoCreateAsPrincipal</t>
  </si>
  <si>
    <t>text</t>
  </si>
  <si>
    <t>status</t>
  </si>
  <si>
    <t>PENDING</t>
  </si>
  <si>
    <t>MarketInfoCreateAsPrincipalAndCheckInMT</t>
  </si>
  <si>
    <t>MarketInfoCreateAsEditorPending</t>
  </si>
  <si>
    <t>MarketInfoCreateAsBroker</t>
  </si>
  <si>
    <t>MarketInfoCreateAsPrincipalWithProduct</t>
  </si>
  <si>
    <t>Orange1.0</t>
  </si>
  <si>
    <t>MarketInfoCreateAsEditorVerified</t>
  </si>
  <si>
    <t>VERIFIED</t>
  </si>
  <si>
    <t>MarketInfoCreateAsPrincipalAndVoidAsEditor</t>
  </si>
  <si>
    <t>MarketInfoCreateAsPrincipalAndVerifyAsEditor</t>
  </si>
  <si>
    <t>sample market info text5</t>
  </si>
  <si>
    <t>MarketInfoCreateAsPrincipalAndUpdateAsEditor</t>
  </si>
  <si>
    <t>MarketInfoConcurrencyPrincipalCreateEditorVerify</t>
  </si>
  <si>
    <t>OrderCleanup</t>
  </si>
  <si>
    <t>Dummy</t>
  </si>
  <si>
    <t>GenerateData</t>
  </si>
  <si>
    <t>OrderSimpleAll</t>
  </si>
  <si>
    <t>OrderSimpleAll.Initiator</t>
  </si>
  <si>
    <t>NAPHTHA CIF NWE - BARGES</t>
  </si>
  <si>
    <t>Default.Editor1</t>
  </si>
  <si>
    <t>Default.Editor2</t>
  </si>
  <si>
    <t>DealConcurrencyVoidedPendingBeforeVoid</t>
  </si>
  <si>
    <t>deal has been voided by another user</t>
  </si>
  <si>
    <t>DealConcurrencyVoidedPendingBeforeVoid.Editor1</t>
  </si>
  <si>
    <t>DealConcurrencyVoidedPendingBeforeVoid.Editor2</t>
  </si>
  <si>
    <t>randomquantity</t>
  </si>
  <si>
    <t>randomprice</t>
  </si>
  <si>
    <t>{RANDOM(10, 9999, 1)}</t>
  </si>
  <si>
    <t>{RANDOM(100, 20000, 10)}</t>
  </si>
  <si>
    <t>version</t>
  </si>
  <si>
    <t>Key</t>
  </si>
  <si>
    <t>testdata</t>
  </si>
  <si>
    <t>hello world</t>
  </si>
  <si>
    <t>helloworld</t>
  </si>
  <si>
    <t>DealConcurrencyVoidedPendingBeforeVerify</t>
  </si>
  <si>
    <t>DealConcurrencyVoidedPendingBeforeVerify.Editor1</t>
  </si>
  <si>
    <t>DealConcurrencyVoidedPendingBeforeVerify.Editor2</t>
  </si>
  <si>
    <t>DealConcurrencyVoidedPendingBeforeUpdate</t>
  </si>
  <si>
    <t>DealConcurrencyVoidedPendingBeforeUpdate.Editor1</t>
  </si>
  <si>
    <t>DealConcurrencyVoidedPendingBeforeUpdate.Editor2</t>
  </si>
  <si>
    <t>environment</t>
  </si>
  <si>
    <t>DealConcurrencyVoidedVerifiedBeforeVoid.Editor1</t>
  </si>
  <si>
    <t>DealConcurrencyVoidedVerifiedBeforeVoid.Editor2</t>
  </si>
  <si>
    <t>DealConcurrencyVoidedVerifiedBeforeVoid</t>
  </si>
  <si>
    <t>DealConcurrencyUpdatedPendingBeforeVoid</t>
  </si>
  <si>
    <t>DealConcurrencyUpdatedPendingBeforeVoid.Editor1</t>
  </si>
  <si>
    <t>DealConcurrencyUpdatedPendingBeforeVoid.Editor2</t>
  </si>
  <si>
    <t>deal has been updated by another user</t>
  </si>
  <si>
    <t>DealConcurrencyUpdatedPendingBeforeUpdate</t>
  </si>
  <si>
    <t>DealConcurrencyUpdatedPendingBeforeUpdate.Editor1</t>
  </si>
  <si>
    <t>DealConcurrencyUpdatedPendingBeforeUpdate.Editor2</t>
  </si>
  <si>
    <t>DealConcurrencyUpdatedPendingBeforeVerify.Editor1</t>
  </si>
  <si>
    <t>DealConcurrencyUpdatedPendingBeforeVerify.Editor2</t>
  </si>
  <si>
    <t>DealConcurrencyUpdatedPendingBeforeVerify</t>
  </si>
  <si>
    <t>DealConcurrencyVerifiedPendingBeforeVoid.Editor1</t>
  </si>
  <si>
    <t>DealConcurrencyVerifiedPendingBeforeVoid.Editor2</t>
  </si>
  <si>
    <t>DealConcurrencyVerifiedPendingBeforeUpdate.Editor1</t>
  </si>
  <si>
    <t>DealConcurrencyVerifiedPendingBeforeUpdate.Editor2</t>
  </si>
  <si>
    <t>DealConcurrencyVerifiedPendingBeforeVerify.Editor1</t>
  </si>
  <si>
    <t>DealConcurrencyVerifiedPendingBeforeVerify.Editor2</t>
  </si>
  <si>
    <t>DealConcurrencyVerifiedPendingBeforeVoid</t>
  </si>
  <si>
    <t>DealConcurrencyVerifiedPendingBeforeUpdate</t>
  </si>
  <si>
    <t>DealConcurrencyVerifiedPendingBeforeVerify</t>
  </si>
  <si>
    <t>deal has been verified by another user</t>
  </si>
  <si>
    <t>EditorLookForBug</t>
  </si>
  <si>
    <t>some message</t>
  </si>
  <si>
    <t>{RANDOM(10, 9999, 2)}</t>
  </si>
  <si>
    <t>{RANDOM(100, 20000, 11)}</t>
  </si>
  <si>
    <t>randomquantity2</t>
  </si>
  <si>
    <t>randomprice2</t>
  </si>
  <si>
    <t>DealSimpleCreatePendingAsPrincipal</t>
  </si>
  <si>
    <t>createme</t>
  </si>
  <si>
    <t>DealSimpleCreatePendingAsEditor</t>
  </si>
  <si>
    <t>DealSimpleCreateVerifiedAsEditor</t>
  </si>
  <si>
    <t>DealSimpleUpdatePending</t>
  </si>
  <si>
    <t>DealSimpleVerifyPending</t>
  </si>
  <si>
    <t>DealSimpleVoidPending</t>
  </si>
  <si>
    <t>DealSimpleVoidVerified</t>
  </si>
  <si>
    <t>OrderMultiCreateAsPrincipal</t>
  </si>
  <si>
    <t>CreateOrderAsPrincipalWithData</t>
  </si>
  <si>
    <t>Default.Principal</t>
  </si>
  <si>
    <t>**04/03/2015 08:50:42: created file: C:\GitHub\automated_tests_ArgusOpenMarkets\AOM\AOMUI\automated_tests\tests\TestData\LIVE.Default.data.js_x000D_
04/03/2015 08:50:42: created file: C:\GitHub\automated_tests_ArgusOpenMarkets\AOM\AOMUI\automated_tests\tests\TestData\LIVE.AOMEnvironmentSetup.data.js_x000D_
04/03/2015 08:50:42: created file: C:\GitHub\automated_tests_ArgusOpenMarkets\AOM\AOMUI\automated_tests\tests\TestData\LIVE.OrderSimpleAll.data.js_x000D_
04/03/2015 08:50:42: created file: C:\GitHub\automated_tests_ArgusOpenMarkets\AOM\AOMUI\automated_tests\tests\TestData\LIVE.OrderCreateAsPrincipal.data.js_x000D_
04/03/2015 08:50:42: created file: C:\GitHub\automated_tests_ArgusOpenMarkets\AOM\AOMUI\automated_tests\tests\TestData\LIVE.OrderHold.data.js_x000D_
04/03/2015 08:50:42: created file: C:\GitHub\automated_tests_ArgusOpenMarkets\AOM\AOMUI\automated_tests\tests\TestData\LIVE.OrderKill.data.js_x000D_
04/03/2015 08:50:42: created file: C:\GitHub\automated_tests_ArgusOpenMarkets\AOM\AOMUI\automated_tests\tests\TestData\LIVE.OrderKillHeld.data.js_x000D_
04/03/2015 08:50:42: created file: C:\GitHub\automated_tests_ArgusOpenMarkets\AOM\AOMUI\automated_tests\tests\TestData\LIVE.OrderReinstate.data.js_x000D_
04/03/2015 08:50:42: created file: C:\GitHub\automated_tests_ArgusOpenMarkets\AOM\AOMUI\automated_tests\tests\TestData\LIVE.OrderUpdate.data.js_x000D_
04/03/2015 08:50:42: created file: C:\GitHub\automated_tests_ArgusOpenMarkets\AOM\AOMUI\automated_tests\tests\TestData\LIVE.OrderUpdateHeld.data.js_x000D_
04/03/2015 08:50:42: created file: C:\GitHub\automated_tests_ArgusOpenMarkets\AOM\AOMUI\automated_tests\tests\TestData\LIVE.OrderExecute.data.js_x000D_
04/03/2015 08:50:42: created file: C:\GitHub\automated_tests_ArgusOpenMarkets\AOM\AOMUI\automated_tests\tests\TestData\LIVE.OrderCleanup.data.js_x000D_
04/03/2015 08:50:42: created file: C:\GitHub\automated_tests_ArgusOpenMarkets\AOM\AOMUI\automated_tests\tests\TestData\LIVE.OrderConcurrencyUpdatedBeforeUpdate.data.js_x000D_
04/03/2015 08:50:42: created file: C:\GitHub\automated_tests_ArgusOpenMarkets\AOM\AOMUI\automated_tests\tests\TestData\LIVE.OrderConcurrencyUpdatedBeforeKill.data.js_x000D_
04/03/2015 08:50:42: created file: C:\GitHub\automated_tests_ArgusOpenMarkets\AOM\AOMUI\automated_tests\tests\TestData\LIVE.OrderConcurrencyUpdatedBeforeHold.data.js_x000D_
04/03/2015 08:50:42: created file: C:\GitHub\automated_tests_ArgusOpenMarkets\AOM\AOMUI\automated_tests\tests\TestData\LIVE.OrderConcurrencyUpdatedBeforeExecute.data.js_x000D_
04/03/2015 08:50:42: created file: C:\GitHub\automated_tests_ArgusOpenMarkets\AOM\AOMUI\automated_tests\tests\TestData\LIVE.OrderConcurrencyUpdatedBeforeReinstate.data.js_x000D_
04/03/2015 08:50:42: created file: C:\GitHub\automated_tests_ArgusOpenMarkets\AOM\AOMUI\automated_tests\tests\TestData\LIVE.OrderConcurrencyHeldBeforeUpdate.data.js_x000D_
04/03/2015 08:50:42: created file: C:\GitHub\automated_tests_ArgusOpenMarkets\AOM\AOMUI\automated_tests\tests\TestData\LIVE.OrderConcurrencyHeldBeforeKill.data.js_x000D_
04/03/2015 08:50:42: created file: C:\GitHub\automated_tests_ArgusOpenMarkets\AOM\AOMUI\automated_tests\tests\TestData\LIVE.OrderConcurrencyHeldBeforeHold.data.js_x000D_
04/03/2015 08:50:42: created file: C:\GitHub\automated_tests_ArgusOpenMarkets\AOM\AOMUI\automated_tests\tests\TestData\LIVE.OrderConcurrencyHeldBeforeExecute.data.js_x000D_
04/03/2015 08:50:42: created file: C:\GitHub\automated_tests_ArgusOpenMarkets\AOM\AOMUI\automated_tests\tests\TestData\LIVE.OrderConcurrencyKilledBeforeUpdate.data.js_x000D_
04/03/2015 08:50:42: created file: C:\GitHub\automated_tests_ArgusOpenMarkets\AOM\AOMUI\automated_tests\tests\TestData\LIVE.OrderConcurrencyKilledBeforeKill.data.js_x000D_
04/03/2015 08:50:42: created file: C:\GitHub\automated_tests_ArgusOpenMarkets\AOM\AOMUI\automated_tests\tests\TestData\LIVE.OrderConcurrencyKilledBeforeHold.data.js_x000D_
04/03/2015 08:50:42: created file: C:\GitHub\automated_tests_ArgusOpenMarkets\AOM\AOMUI\automated_tests\tests\TestData\LIVE.OrderConcurrencyKilledBeforeExecute.data.js_x000D_
04/03/2015 08:50:42: created file: C:\GitHub\automated_tests_ArgusOpenMarkets\AOM\AOMUI\automated_tests\tests\TestData\LIVE.OrderConcurrencyKilledBeforeReinstate.data.js_x000D_
04/03/2015 08:50:42: created file: C:\GitHub\automated_tests_ArgusOpenMarkets\AOM\AOMUI\automated_tests\tests\TestData\LIVE.OrderConcurrencyExecutedBeforeUpdate.data.js_x000D_
04/03/2015 08:50:42: created file: C:\GitHub\automated_tests_ArgusOpenMarkets\AOM\AOMUI\automated_tests\tests\TestData\LIVE.OrderConcurrencyExecutedBeforeKill.data.js_x000D_
04/03/2015 08:50:42: created file: C:\GitHub\automated_tests_ArgusOpenMarkets\AOM\AOMUI\automated_tests\tests\TestData\LIVE.OrderConcurrencyExecutedBeforeHold.data.js_x000D_
04/03/2015 08:50:42: created file: C:\GitHub\automated_tests_ArgusOpenMarkets\AOM\AOMUI\automated_tests\tests\TestData\LIVE.OrderConcurrencyExecutedBeforeExecute.data.js_x000D_
04/03/2015 08:50:42: created file: C:\GitHub\automated_tests_ArgusOpenMarkets\AOM\AOMUI\automated_tests\tests\TestData\LIVE.OrderConcurrencyReinstatedBeforeUpdate.data.js_x000D_
04/03/2015 08:50:42: created file: C:\GitHub\automated_tests_ArgusOpenMarkets\AOM\AOMUI\automated_tests\tests\TestData\LIVE.OrderConcurrencyReinstatedBeforeKill.data.js_x000D_
04/03/2015 08:50:42: created file: C:\GitHub\automated_tests_ArgusOpenMarkets\AOM\AOMUI\automated_tests\tests\TestData\LIVE.OrderConcurrencyReinstatedBeforeReinstate.data.js_x000D_
04/03/2015 08:50:42: created file: C:\GitHub\automated_tests_ArgusOpenMarkets\AOM\AOMUI\automated_tests\tests\TestData\LIVE.OrderConcurrencyExecutedBeforeReinstate.data.js_x000D_
04/03/2015 08:50:42: created file: C:\GitHub\automated_tests_ArgusOpenMarkets\AOM\AOMUI\automated_tests\tests\TestData\LIVE.OrderConcurrencyCleanup.data.js_x000D_
04/03/2015 08:50:42: created file: C:\GitHub\automated_tests_ArgusOpenMarkets\AOM\AOMUI\automated_tests\tests\TestData\LIVE.DealSimpleCreatePendingAsPrincipal.data.js_x000D_
04/03/2015 08:50:42: created file: C:\GitHub\automated_tests_ArgusOpenMarkets\AOM\AOMUI\automated_tests\tests\TestData\LIVE.DealSimpleCreatePendingAsEditor.data.js_x000D_
04/03/2015 08:50:42: created file: C:\GitHub\automated_tests_ArgusOpenMarkets\AOM\AOMUI\automated_tests\tests\TestData\LIVE.DealSimpleCreateVerifiedAsEditor.data.js_x000D_
04/03/2015 08:50:42: created file: C:\GitHub\automated_tests_ArgusOpenMarkets\AOM\AOMUI\automated_tests\tests\TestData\LIVE.DealSimpleUpdatePending.data.js_x000D_
04/03/2015 08:50:42: created file: C:\GitHub\automated_tests_ArgusOpenMarkets\AOM\AOMUI\automated_tests\tests\TestData\LIVE.DealSimpleVerifyPending.data.js_x000D_
04/03/2015 08:50:42: created file: C:\GitHub\automated_tests_ArgusOpenMarkets\AOM\AOMUI\automated_tests\tests\TestData\LIVE.DealSimpleVoidPending.data.js_x000D_
04/03/2015 08:50:42: created file: C:\GitHub\automated_tests_ArgusOpenMarkets\AOM\AOMUI\automated_tests\tests\TestData\LIVE.DealSimpleVoidVerified.data.js_x000D_
04/03/2015 08:50:42: created file: C:\GitHub\automated_tests_ArgusOpenMarkets\AOM\AOMUI\automated_tests\tests\TestData\LIVE.OrderMultiCreateAsPrincipal.data.js_x000D_
04/03/2015 08:50:42: created file: C:\GitHub\automated_tests_ArgusOpenMarkets\AOM\AOMUI\automated_tests\tests\TestData\LIVE.CreateOrderAsPrincipalWithData.data.js_x000D_
04/03/2015 08:50:42: created file: C:\GitHub\automated_tests_ArgusOpenMarkets\AOM\AOMUI\automated_tests\tests\TestData\LIVE.DealConcurrencyVoidedPendingBeforeVoid.data.js_x000D_
04/03/2015 08:50:42: created file: C:\GitHub\automated_tests_ArgusOpenMarkets\AOM\AOMUI\automated_tests\tests\TestData\LIVE.DealConcurrencyVoidedPendingBeforeVerify.data.js_x000D_
04/03/2015 08:50:42: created file: C:\GitHub\automated_tests_ArgusOpenMarkets\AOM\AOMUI\automated_tests\tests\TestData\LIVE.DealConcurrencyVoidedPendingBeforeUpdate.data.js_x000D_
04/03/2015 08:50:42: created file: C:\GitHub\automated_tests_ArgusOpenMarkets\AOM\AOMUI\automated_tests\tests\TestData\LIVE.DealConcurrencyVoidedVerifiedBeforeVoid.data.js_x000D_
04/03/2015 08:50:42: created file: C:\GitHub\automated_tests_ArgusOpenMarkets\AOM\AOMUI\automated_tests\tests\TestData\LIVE.DealConcurrencyUpdatedPendingBeforeVoid.data.js_x000D_
04/03/2015 08:50:42: created file: C:\GitHub\automated_tests_ArgusOpenMarkets\AOM\AOMUI\automated_tests\tests\TestData\LIVE.DealConcurrencyUpdatedPendingBeforeUpdate.data.js_x000D_
04/03/2015 08:50:42: created file: C:\GitHub\automated_tests_ArgusOpenMarkets\AOM\AOMUI\automated_tests\tests\TestData\LIVE.DealConcurrencyUpdatedPendingBeforeVerify.data.js_x000D_
04/03/2015 08:50:42: created file: C:\GitHub\automated_tests_ArgusOpenMarkets\AOM\AOMUI\automated_tests\tests\TestData\LIVE.DealConcurrencyVerifiedPendingBeforeVoid.data.js_x000D_
04/03/2015 08:50:42: created file: C:\GitHub\automated_tests_ArgusOpenMarkets\AOM\AOMUI\automated_tests\tests\TestData\LIVE.DealConcurrencyVerifiedPendingBeforeUpdate.data.js_x000D_
04/03/2015 08:50:42: created file: C:\GitHub\automated_tests_ArgusOpenMarkets\AOM\AOMUI\automated_tests\tests\TestData\LIVE.DealConcurrencyVerifiedPendingBeforeVerify.data.js_x000D_
04/03/2015 08:50:42: created file: C:\GitHub\automated_tests_ArgusOpenMarkets\AOM\AOMUI\automated_tests\tests\TestData\LIVE.EditorLookForBug.data.js_x000D_
04/03/2015 08:50:42: created file: C:\GitHub\automated_tests_ArgusOpenMarkets\AOM\AOMUI\automated_tests\tests\TestData\LIVE.DealCreateAsPrincipal.data.js_x000D_
04/03/2015 08:50:42: created file: C:\GitHub\automated_tests_ArgusOpenMarkets\AOM\AOMUI\automated_tests\tests\TestData\LIVE.DealVerifyForPrincipal.data.js_x000D_
04/03/2015 08:50:42: created file: C:\GitHub\automated_tests_ArgusOpenMarkets\AOM\AOMUI\automated_tests\tests\TestData\LIVE.DealCreateAsBroker.data.js_x000D_
04/03/2015 08:50:42: created file: C:\GitHub\automated_tests_ArgusOpenMarkets\AOM\AOMUI\automated_tests\tests\TestData\LIVE.DealVerifyForBroker.data.js_x000D_
04/03/2015 08:50:42: created file: C:\GitHub\automated_tests_ArgusOpenMarkets\AOM\AOMUI\automated_tests\tests\TestData\LIVE.DealCreateAsEditorPending.data.js_x000D_
04/03/2015 08:50:42: created file: C:\GitHub\automated_tests_ArgusOpenMarkets\AOM\AOMUI\automated_tests\tests\TestData\LIVE.DealVerifyForEditor.data.js_x000D_
04/03/2015 08:50:42: created file: C:\GitHub\automated_tests_ArgusOpenMarkets\AOM\AOMUI\automated_tests\tests\TestData\LIVE.DealCreateAsEditorVerified.data.js_x000D_
04/03/2015 08:50:42: created file: C:\GitHub\automated_tests_ArgusOpenMarkets\AOM\AOMUI\automated_tests\tests\TestData\LIVE.DealEditPending.data.js_x000D_
04/03/2015 08:50:42: created file: C:\GitHub\automated_tests_ArgusOpenMarkets\AOM\AOMUI\automated_tests\tests\TestData\LIVE.DealVoidPending.data.js_x000D_
04/03/2015 08:50:42: created file: C:\GitHub\automated_tests_ArgusOpenMarkets\AOM\AOMUI\automated_tests\tests\TestData\LIVE.DealVoidNew.data.js_x000D_
04/03/2015 08:50:42: created file: C:\GitHub\automated_tests_ArgusOpenMarkets\AOM\AOMUI\automated_tests\tests\TestData\LIVE.DealVerifyPending.data.js_x000D_
04/03/2015 08:50:42: created file: C:\GitHub\automated_tests_ArgusOpenMarkets\AOM\AOMUI\automated_tests\tests\TestData\LIVE.DealConcurrencyPrincipalCreateEditorVerify.data.js_x000D_
04/03/2015 08:50:42: created file: C:\GitHub\automated_tests_ArgusOpenMarkets\AOM\AOMUI\automated_tests\tests\TestData\LIVE.DealConcurrencyBrokerCreateEditorVerify.data.js_x000D_
04/03/2015 08:50:42: created file: C:\GitHub\automated_tests_ArgusOpenMarkets\AOM\AOMUI\automated_tests\tests\TestData\LIVE.MarketInfoCreateAsPrincipal.data.js_x000D_
04/03/2015 08:50:42: created file: C:\GitHub\automated_tests_ArgusOpenMarkets\AOM\AOMUI\automated_tests\tests\TestData\LIVE.MarketInfoCreateAsPrincipalAndCheckInMT.data.js_x000D_
04/03/2015 08:50:42: created file: C:\GitHub\automated_tests_ArgusOpenMarkets\AOM\AOMUI\automated_tests\tests\TestData\LIVE.MarketInfoCreateAsBroker.data.js_x000D_
04/03/2015 08:50:42: created file: C:\GitHub\automated_tests_ArgusOpenMarkets\AOM\AOMUI\automated_tests\tests\TestData\LIVE.MarketInfoCreateAsEditorPending.data.js_x000D_
04/03/2015 08:50:42: created file: C:\GitHub\automated_tests_ArgusOpenMarkets\AOM\AOMUI\automated_tests\tests\TestData\LIVE.MarketInfoCreateAsPrincipalWithProduct.data.js_x000D_
04/03/2015 08:50:42: created file: C:\GitHub\automated_tests_ArgusOpenMarkets\AOM\AOMUI\automated_tests\tests\TestData\LIVE.MarketInfoCreateAsEditorVerified.data.js_x000D_
04/03/2015 08:50:42: created file: C:\GitHub\automated_tests_ArgusOpenMarkets\AOM\AOMUI\automated_tests\tests\TestData\LIVE.MarketInfoCreateAsPrincipalAndVoidAsEditor.data.js_x000D_
04/03/2015 08:50:42: created file: C:\GitHub\automated_tests_ArgusOpenMarkets\AOM\AOMUI\automated_tests\tests\TestData\LIVE.MarketInfoCreateAsPrincipalAndVerifyAsEditor.data.js_x000D_
04/03/2015 08:50:42: created file: C:\GitHub\automated_tests_ArgusOpenMarkets\AOM\AOMUI\automated_tests\tests\TestData\LIVE.MarketInfoCreateAsPrincipalAndUpdateAsEditor.data.js_x000D_
04/03/2015 08:50:42: created file: C:\GitHub\automated_tests_ArgusOpenMarkets\AOM\AOMUI\automated_tests\tests\TestData\LIVE.MarketInfoConcurrencyPrincipalCreateEditorVerify.data.js_x000D_
04/03/2015 08:50:42: created file: C:\GitHub\automated_tests_ArgusOpenMarkets\AOM\AOMUI\automated_tests\tests\TestData\LIVE.OrderSimpleCreateAsPrincipal.data.js_x000D_
04/03/2015 08:50:42: created file: C:\GitHub\automated_tests_ArgusOpenMarkets\AOM\AOMUI\automated_tests\tests\TestData\LIVE.OrderSimpleHold.data.js_x000D_
04/03/2015 08:50:42: created file: C:\GitHub\automated_tests_ArgusOpenMarkets\AOM\AOMUI\automated_tests\tests\TestData\LIVE.OrderSimpleKill.data.js_x000D_
04/03/2015 08:50:42: created file: C:\GitHub\automated_tests_ArgusOpenMarkets\AOM\AOMUI\automated_tests\tests\TestData\LIVE.OrderSimpleKillHeld.data.js_x000D_
04/03/2015 08:50:42: created file: C:\GitHub\automated_tests_ArgusOpenMarkets\AOM\AOMUI\automated_tests\tests\TestData\LIVE.OrderSimpleReinstate.data.js_x000D_
04/03/2015 08:50:42: created file: C:\GitHub\automated_tests_ArgusOpenMarkets\AOM\AOMUI\automated_tests\tests\TestData\LIVE.OrderSimpleUpdate.data.js_x000D_
04/03/2015 08:50:42: created file: C:\GitHub\automated_tests_ArgusOpenMarkets\AOM\AOMUI\automated_tests\tests\TestData\LIVE.OrderSimpleUpdateHeld.data.js_x000D_
04/03/2015 08:50:42: created file: C:\GitHub\automated_tests_ArgusOpenMarkets\AOM\AOMUI\automated_tests\tests\TestData\LIVE.OrderSimpleExecute.data.js_x000D_
04/03/2015 08:50:42: created file: C:\GitHub\automated_tests_ArgusOpenMarkets\AOM\AOMUI\automated_tests\tests\TestData\LIVE.OrderSimpleCleanup.data.js_x000D_
04/03/2015 08:50:43: created file: C:\GitHub\automated_tests_ArgusOpenMarkets\AOM\AOMUI\automated_tests\tests\TestData\SYSTEST.Default.data.js_x000D_
04/03/2015 08:50:43: created file: C:\GitHub\automated_tests_ArgusOpenMarkets\AOM\AOMUI\automated_tests\tests\TestData\SYSTEST.AOMEnvironmentSetup.data.js_x000D_
04/03/2015 08:50:43: created file: C:\GitHub\automated_tests_ArgusOpenMarkets\AOM\AOMUI\automated_tests\tests\TestData\SYSTEST.OrderSimpleAll.data.js_x000D_
04/03/2015 08:50:43: created file: C:\GitHub\automated_tests_ArgusOpenMarkets\AOM\AOMUI\automated_tests\tests\TestData\SYSTEST.OrderCreateAsPrincipal.data.js_x000D_
04/03/2015 08:50:43: created file: C:\GitHub\automated_tests_ArgusOpenMarkets\AOM\AOMUI\automated_tests\tests\TestData\SYSTEST.OrderHold.data.js_x000D_
04/03/2015 08:50:43: created file: C:\GitHub\automated_tests_ArgusOpenMarkets\AOM\AOMUI\automated_tests\tests\TestData\SYSTEST.OrderKill.data.js_x000D_
04/03/2015 08:50:43: created file: C:\GitHub\automated_tests_ArgusOpenMarkets\AOM\AOMUI\automated_tests\tests\TestData\SYSTEST.OrderKillHeld.data.js_x000D_
04/03/2015 08:50:43: created file: C:\GitHub\automated_tests_ArgusOpenMarkets\AOM\AOMUI\automated_tests\tests\TestData\SYSTEST.OrderReinstate.data.js_x000D_
04/03/2015 08:50:43: created file: C:\GitHub\automated_tests_ArgusOpenMarkets\AOM\AOMUI\automated_tests\tests\TestData\SYSTEST.OrderUpdate.data.js_x000D_
04/03/2015 08:50:43: created file: C:\GitHub\automated_tests_ArgusOpenMarkets\AOM\AOMUI\automated_tests\tests\TestData\SYSTEST.OrderUpdateHeld.data.js_x000D_
04/03/2015 08:50:43: created file: C:\GitHub\automated_tests_ArgusOpenMarkets\AOM\AOMUI\automated_tests\tests\TestData\SYSTEST.OrderExecute.data.js_x000D_
04/03/2015 08:50:43: created file: C:\GitHub\automated_tests_ArgusOpenMarkets\AOM\AOMUI\automated_tests\tests\TestData\SYSTEST.OrderCleanup.data.js_x000D_
04/03/2015 08:50:43: created file: C:\GitHub\automated_tests_ArgusOpenMarkets\AOM\AOMUI\automated_tests\tests\TestData\SYSTEST.OrderConcurrencyUpdatedBeforeUpdate.data.js_x000D_
04/03/2015 08:50:43: created file: C:\GitHub\automated_tests_ArgusOpenMarkets\AOM\AOMUI\automated_tests\tests\TestData\SYSTEST.OrderConcurrencyUpdatedBeforeKill.data.js_x000D_
04/03/2015 08:50:43: created file: C:\GitHub\automated_tests_ArgusOpenMarkets\AOM\AOMUI\automated_tests\tests\TestData\SYSTEST.OrderConcurrencyUpdatedBeforeHold.data.js_x000D_
04/03/2015 08:50:43: created file: C:\GitHub\automated_tests_ArgusOpenMarkets\AOM\AOMUI\automated_tests\tests\TestData\SYSTEST.OrderConcurrencyUpdatedBeforeExecute.data.js_x000D_
04/03/2015 08:50:43: created file: C:\GitHub\automated_tests_ArgusOpenMarkets\AOM\AOMUI\automated_tests\tests\TestData\SYSTEST.OrderConcurrencyUpdatedBeforeReinstate.data.js_x000D_
04/03/2015 08:50:43: created file: C:\GitHub\automated_tests_ArgusOpenMarkets\AOM\AOMUI\automated_tests\tests\TestData\SYSTEST.OrderConcurrencyHeldBeforeUpdate.data.js_x000D_
04/03/2015 08:50:43: created file: C:\GitHub\automated_tests_ArgusOpenMarkets\AOM\AOMUI\automated_tests\tests\TestData\SYSTEST.OrderConcurrencyHeldBeforeKill.data.js_x000D_
04/03/2015 08:50:43: created file: C:\GitHub\automated_tests_ArgusOpenMarkets\AOM\AOMUI\automated_tests\tests\TestData\SYSTEST.OrderConcurrencyHeldBeforeHold.data.js_x000D_
04/03/2015 08:50:43: created file: C:\GitHub\automated_tests_ArgusOpenMarkets\AOM\AOMUI\automated_tests\tests\TestData\SYSTEST.OrderConcurrencyHeldBeforeExecute.data.js_x000D_
04/03/2015 08:50:43: created file: C:\GitHub\automated_tests_ArgusOpenMarkets\AOM\AOMUI\automated_tests\tests\TestData\SYSTEST.OrderConcurrencyKilledBeforeUpdate.data.js_x000D_
04/03/2015 08:50:43: created file: C:\GitHub\automated_tests_ArgusOpenMarkets\AOM\AOMUI\automated_tests\tests\TestData\SYSTEST.OrderConcurrencyKilledBeforeKill.data.js_x000D_
04/03/2015 08:50:43: created file: C:\GitHub\automated_tests_ArgusOpenMarkets\AOM\AOMUI\automated_tests\tests\TestData\SYSTEST.OrderConcurrencyKilledBeforeHold.data.js_x000D_
04/03/2015 08:50:43: created file: C:\GitHub\automated_tests_ArgusOpenMarkets\AOM\AOMUI\automated_tests\tests\TestData\SYSTEST.OrderConcurrencyKilledBeforeExecute.data.js_x000D_
04/03/2015 08:50:43: created file: C:\GitHub\automated_tests_ArgusOpenMarkets\AOM\AOMUI\automated_tests\tests\TestData\SYSTEST.OrderConcurrencyKilledBeforeReinstate.data.js_x000D_
04/03/2015 08:50:43: created file: C:\GitHub\automated_tests_ArgusOpenMarkets\AOM\AOMUI\automated_tests\tests\TestData\SYSTEST.OrderConcurrencyExecutedBeforeUpdate.data.js_x000D_
04/03/2015 08:50:43: created file: C:\GitHub\automated_tests_ArgusOpenMarkets\AOM\AOMUI\automated_tests\tests\TestData\SYSTEST.OrderConcurrencyExecutedBeforeKill.data.js_x000D_
04/03/2015 08:50:43: created file: C:\GitHub\automated_tests_ArgusOpenMarkets\AOM\AOMUI\automated_tests\tests\TestData\SYSTEST.OrderConcurrencyExecutedBeforeHold.data.js_x000D_
04/03/2015 08:50:43: created file: C:\GitHub\automated_tests_ArgusOpenMarkets\AOM\AOMUI\automated_tests\tests\TestData\SYSTEST.OrderConcurrencyExecutedBeforeExecute.data.js_x000D_
04/03/2015 08:50:43: created file: C:\GitHub\automated_tests_ArgusOpenMarkets\AOM\AOMUI\automated_tests\tests\TestData\SYSTEST.OrderConcurrencyReinstatedBeforeUpdate.data.js_x000D_
04/03/2015 08:50:43: created file: C:\GitHub\automated_tests_ArgusOpenMarkets\AOM\AOMUI\automated_tests\tests\TestData\SYSTEST.OrderConcurrencyReinstatedBeforeKill.data.js_x000D_
04/03/2015 08:50:43: created file: C:\GitHub\automated_tests_ArgusOpenMarkets\AOM\AOMUI\automated_tests\tests\TestData\SYSTEST.OrderConcurrencyReinstatedBeforeReinstate.data.js_x000D_
04/03/2015 08:50:43: created file: C:\GitHub\automated_tests_ArgusOpenMarkets\AOM\AOMUI\automated_tests\tests\TestData\SYSTEST.OrderConcurrencyExecutedBeforeReinstate.data.js_x000D_
04/03/2015 08:50:43: created file: C:\GitHub\automated_tests_ArgusOpenMarkets\AOM\AOMUI\automated_tests\tests\TestData\SYSTEST.OrderConcurrencyCleanup.data.js_x000D_
04/03/2015 08:50:43: created file: C:\GitHub\automated_tests_ArgusOpenMarkets\AOM\AOMUI\automated_tests\tests\TestData\SYSTEST.DealSimpleCreatePendingAsPrincipal.data.js_x000D_
04/03/2015 08:50:43: created file: C:\GitHub\automated_tests_ArgusOpenMarkets\AOM\AOMUI\automated_tests\tests\TestData\SYSTEST.DealSimpleCreatePendingAsEditor.data.js_x000D_
04/03/2015 08:50:43: created file: C:\GitHub\automated_tests_ArgusOpenMarkets\AOM\AOMUI\automated_tests\tests\TestData\SYSTEST.DealSimpleCreateVerifiedAsEditor.data.js_x000D_
04/03/2015 08:50:43: created file: C:\GitHub\automated_tests_ArgusOpenMarkets\AOM\AOMUI\automated_tests\tests\TestData\SYSTEST.DealSimpleUpdatePending.data.js_x000D_
04/03/2015 08:50:43: created file: C:\GitHub\automated_tests_ArgusOpenMarkets\AOM\AOMUI\automated_tests\tests\TestData\SYSTEST.DealSimpleVerifyPending.data.js_x000D_
04/03/2015 08:50:43: created file: C:\GitHub\automated_tests_ArgusOpenMarkets\AOM\AOMUI\automated_tests\tests\TestData\SYSTEST.DealSimpleVoidPending.data.js_x000D_
04/03/2015 08:50:43: created file: C:\GitHub\automated_tests_ArgusOpenMarkets\AOM\AOMUI\automated_tests\tests\TestData\SYSTEST.DealSimpleVoidVerified.data.js_x000D_
04/03/2015 08:50:43: created file: C:\GitHub\automated_tests_ArgusOpenMarkets\AOM\AOMUI\automated_tests\tests\TestData\SYSTEST.OrderMultiCreateAsPrincipal.data.js_x000D_
04/03/2015 08:50:43: created file: C:\GitHub\automated_tests_ArgusOpenMarkets\AOM\AOMUI\automated_tests\tests\TestData\SYSTEST.CreateOrderAsPrincipalWithData.data.js_x000D_
04/03/2015 08:50:43: created file: C:\GitHub\automated_tests_ArgusOpenMarkets\AOM\AOMUI\automated_tests\tests\TestData\SYSTEST.DealConcurrencyVoidedPendingBeforeVoid.data.js_x000D_
04/03/2015 08:50:43: created file: C:\GitHub\automated_tests_ArgusOpenMarkets\AOM\AOMUI\automated_tests\tests\TestData\SYSTEST.DealConcurrencyVoidedPendingBeforeVerify.data.js_x000D_
04/03/2015 08:50:43: created file: C:\GitHub\automated_tests_ArgusOpenMarkets\AOM\AOMUI\automated_tests\tests\TestData\SYSTEST.DealConcurrencyVoidedPendingBeforeUpdate.data.js_x000D_
04/03/2015 08:50:43: created file: C:\GitHub\automated_tests_ArgusOpenMarkets\AOM\AOMUI\automated_tests\tests\TestData\SYSTEST.DealConcurrencyVoidedVerifiedBeforeVoid.data.js_x000D_
04/03/2015 08:50:43: created file: C:\GitHub\automated_tests_ArgusOpenMarkets\AOM\AOMUI\automated_tests\tests\TestData\SYSTEST.DealConcurrencyUpdatedPendingBeforeVoid.data.js_x000D_
04/03/2015 08:50:43: created file: C:\GitHub\automated_tests_ArgusOpenMarkets\AOM\AOMUI\automated_tests\tests\TestData\SYSTEST.DealConcurrencyUpdatedPendingBeforeUpdate.data.js_x000D_
04/03/2015 08:50:43: created file: C:\GitHub\automated_tests_ArgusOpenMarkets\AOM\AOMUI\automated_tests\tests\TestData\SYSTEST.DealConcurrencyUpdatedPendingBeforeVerify.data.js_x000D_
04/03/2015 08:50:43: created file: C:\GitHub\automated_tests_ArgusOpenMarkets\AOM\AOMUI\automated_tests\tests\TestData\SYSTEST.DealConcurrencyVerifiedPendingBeforeVoid.data.js_x000D_
04/03/2015 08:50:43: created file: C:\GitHub\automated_tests_ArgusOpenMarkets\AOM\AOMUI\automated_tests\tests\TestData\SYSTEST.DealConcurrencyVerifiedPendingBeforeUpdate.data.js_x000D_
04/03/2015 08:50:43: created file: C:\GitHub\automated_tests_ArgusOpenMarkets\AOM\AOMUI\automated_tests\tests\TestData\SYSTEST.DealConcurrencyVerifiedPendingBeforeVerify.data.js_x000D_
04/03/2015 08:50:43: created file: C:\GitHub\automated_tests_ArgusOpenMarkets\AOM\AOMUI\automated_tests\tests\TestData\SYSTEST.EditorLookForBug.data.js_x000D_
04/03/2015 08:50:43: created file: C:\GitHub\automated_tests_ArgusOpenMarkets\AOM\AOMUI\automated_tests\tests\TestData\SYSTEST.DealCreateAsPrincipal.data.js_x000D_
04/03/2015 08:50:43: created file: C:\GitHub\automated_tests_ArgusOpenMarkets\AOM\AOMUI\automated_tests\tests\TestData\SYSTEST.DealVerifyForPrincipal.data.js_x000D_
04/03/2015 08:50:43: created file: C:\GitHub\automated_tests_ArgusOpenMarkets\AOM\AOMUI\automated_tests\tests\TestData\SYSTEST.DealCreateAsBroker.data.js_x000D_
04/03/2015 08:50:43: created file: C:\GitHub\automated_tests_ArgusOpenMarkets\AOM\AOMUI\automated_tests\tests\TestData\SYSTEST.DealVerifyForBroker.data.js_x000D_
04/03/2015 08:50:43: created file: C:\GitHub\automated_tests_ArgusOpenMarkets\AOM\AOMUI\automated_tests\tests\TestData\SYSTEST.DealCreateAsEditorPending.data.js_x000D_
04/03/2015 08:50:43: created file: C:\GitHub\automated_tests_ArgusOpenMarkets\AOM\AOMUI\automated_tests\tests\TestData\SYSTEST.DealVerifyForEditor.data.js_x000D_
04/03/2015 08:50:43: created file: C:\GitHub\automated_tests_ArgusOpenMarkets\AOM\AOMUI\automated_tests\tests\TestData\SYSTEST.DealCreateAsEditorVerified.data.js_x000D_
04/03/2015 08:50:43: created file: C:\GitHub\automated_tests_ArgusOpenMarkets\AOM\AOMUI\automated_tests\tests\TestData\SYSTEST.DealEditPending.data.js_x000D_
04/03/2015 08:50:43: created file: C:\GitHub\automated_tests_ArgusOpenMarkets\AOM\AOMUI\automated_tests\tests\TestData\SYSTEST.DealVoidPending.data.js_x000D_
04/03/2015 08:50:43: created file: C:\GitHub\automated_tests_ArgusOpenMarkets\AOM\AOMUI\automated_tests\tests\TestData\SYSTEST.DealVoidNew.data.js_x000D_
04/03/2015 08:50:43: created file: C:\GitHub\automated_tests_ArgusOpenMarkets\AOM\AOMUI\automated_tests\tests\TestData\SYSTEST.DealVerifyPending.data.js_x000D_
04/03/2015 08:50:43: created file: C:\GitHub\automated_tests_ArgusOpenMarkets\AOM\AOMUI\automated_tests\tests\TestData\SYSTEST.DealConcurrencyPrincipalCreateEditorVerify.data.js_x000D_
04/03/2015 08:50:43: created file: C:\GitHub\automated_tests_ArgusOpenMarkets\AOM\AOMUI\automated_tests\tests\TestData\SYSTEST.DealConcurrencyBrokerCreateEditorVerify.data.js_x000D_
04/03/2015 08:50:43: created file: C:\GitHub\automated_tests_ArgusOpenMarkets\AOM\AOMUI\automated_tests\tests\TestData\SYSTEST.MarketInfoCreateAsPrincipal.data.js_x000D_
04/03/2015 08:50:43: created file: C:\GitHub\automated_tests_ArgusOpenMarkets\AOM\AOMUI\automated_tests\tests\TestData\SYSTEST.MarketInfoCreateAsPrincipalAndCheckInMT.data.js_x000D_
04/03/2015 08:50:43: created file: C:\GitHub\automated_tests_ArgusOpenMarkets\AOM\AOMUI\automated_tests\tests\TestData\SYSTEST.MarketInfoCreateAsBroker.data.js_x000D_
04/03/2015 08:50:43: created file: C:\GitHub\automated_tests_ArgusOpenMarkets\AOM\AOMUI\automated_tests\tests\TestData\SYSTEST.MarketInfoCreateAsEditorPending.data.js_x000D_
04/03/2015 08:50:43: created file: C:\GitHub\automated_tests_ArgusOpenMarkets\AOM\AOMUI\automated_tests\tests\TestData\SYSTEST.MarketInfoCreateAsPrincipalWithProduct.data.js_x000D_
04/03/2015 08:50:43: created file: C:\GitHub\automated_tests_ArgusOpenMarkets\AOM\AOMUI\automated_tests\tests\TestData\SYSTEST.MarketInfoCreateAsEditorVerified.data.js_x000D_
04/03/2015 08:50:43: created file: C:\GitHub\automated_tests_ArgusOpenMarkets\AOM\AOMUI\automated_tests\tests\TestData\SYSTEST.MarketInfoCreateAsPrincipalAndVoidAsEditor.data.js_x000D_
04/03/2015 08:50:43: created file: C:\GitHub\automated_tests_ArgusOpenMarkets\AOM\AOMUI\automated_tests\tests\TestData\SYSTEST.MarketInfoCreateAsPrincipalAndVerifyAsEditor.data.js_x000D_
04/03/2015 08:50:43: created file: C:\GitHub\automated_tests_ArgusOpenMarkets\AOM\AOMUI\automated_tests\tests\TestData\SYSTEST.MarketInfoCreateAsPrincipalAndUpdateAsEditor.data.js_x000D_
04/03/2015 08:50:43: created file: C:\GitHub\automated_tests_ArgusOpenMarkets\AOM\AOMUI\automated_tests\tests\TestData\SYSTEST.MarketInfoConcurrencyPrincipalCreateEditorVerify.data.js_x000D_
04/03/2015 08:50:43: created file: C:\GitHub\automated_tests_ArgusOpenMarkets\AOM\AOMUI\automated_tests\tests\TestData\SYSTEST.OrderSimpleCreateAsPrincipal.data.js_x000D_
04/03/2015 08:50:43: created file: C:\GitHub\automated_tests_ArgusOpenMarkets\AOM\AOMUI\automated_tests\tests\TestData\SYSTEST.OrderSimpleHold.data.js_x000D_
04/03/2015 08:50:43: created file: C:\GitHub\automated_tests_ArgusOpenMarkets\AOM\AOMUI\automated_tests\tests\TestData\SYSTEST.OrderSimpleKill.data.js_x000D_
04/03/2015 08:50:43: created file: C:\GitHub\automated_tests_ArgusOpenMarkets\AOM\AOMUI\automated_tests\tests\TestData\SYSTEST.OrderSimpleKillHeld.data.js_x000D_
04/03/2015 08:50:43: created file: C:\GitHub\automated_tests_ArgusOpenMarkets\AOM\AOMUI\automated_tests\tests\TestData\SYSTEST.OrderSimpleReinstate.data.js_x000D_
04/03/2015 08:50:43: created file: C:\GitHub\automated_tests_ArgusOpenMarkets\AOM\AOMUI\automated_tests\tests\TestData\SYSTEST.OrderSimpleUpdate.data.js_x000D_
04/03/2015 08:50:43: created file: C:\GitHub\automated_tests_ArgusOpenMarkets\AOM\AOMUI\automated_tests\tests\TestData\SYSTEST.OrderSimpleUpdateHeld.data.js_x000D_
04/03/2015 08:50:43: created file: C:\GitHub\automated_tests_ArgusOpenMarkets\AOM\AOMUI\automated_tests\tests\TestData\SYSTEST.OrderSimpleExecute.data.js_x000D_
04/03/2015 08:50:43: created file: C:\GitHub\automated_tests_ArgusOpenMarkets\AOM\AOMUI\automated_tests\tests\TestData\SYSTEST.OrderSimpleCleanup.data.js_x000D_
04/03/2015 08:50:43: created file: C:\GitHub\automated_tests_ArgusOpenMarkets\AOM\AOMUI\automated_tests\tests\TestData\SYSTEST.helloworld.data.js_x000D_
04/03/2015 08:50:43: created file: C:\GitHub\automated_tests_ArgusOpenMarkets\AOM\AOMUI\automated_tests\tests\TestData\UAT.Default.data.js_x000D_
04/03/2015 08:50:43: created file: C:\GitHub\automated_tests_ArgusOpenMarkets\AOM\AOMUI\automated_tests\tests\TestData\UAT.AOMEnvironmentSetup.data.js_x000D_
04/03/2015 08:50:43: created file: C:\GitHub\automated_tests_ArgusOpenMarkets\AOM\AOMUI\automated_tests\tests\TestData\UAT.OrderSimpleAll.data.js_x000D_
04/03/2015 08:50:43: created file: C:\GitHub\automated_tests_ArgusOpenMarkets\AOM\AOMUI\automated_tests\tests\TestData\UAT.OrderCreateAsPrincipal.data.js_x000D_
04/03/2015 08:50:43: created file: C:\GitHub\automated_tests_ArgusOpenMarkets\AOM\AOMUI\automated_tests\tests\TestData\UAT.OrderHold.data.js_x000D_
04/03/2015 08:50:43: created file: C:\GitHub\automated_tests_ArgusOpenMarkets\AOM\AOMUI\automated_tests\tests\TestData\UAT.OrderKill.data.js_x000D_
04/03/2015 08:50:43: created file: C:\GitHub\automated_tests_ArgusOpenMarkets\AOM\AOMUI\automated_tests\tests\TestData\UAT.OrderKillHeld.data.js_x000D_
04/03/2015 08:50:43: created file: C:\GitHub\automated_tests_ArgusOpenMarkets\AOM\AOMUI\automated_tests\tests\TestData\UAT.OrderReinstate.data.js_x000D_
04/03/2015 08:50:43: created file: C:\GitHub\automated_tests_ArgusOpenMarkets\AOM\AOMUI\automated_tests\tests\TestData\UAT.OrderUpdate.data.js_x000D_
04/03/2015 08:50:43: created file: C:\GitHub\automated_tests_ArgusOpenMarkets\AOM\AOMUI\automated_tests\tests\TestData\UAT.OrderUpdateHeld.data.js_x000D_
04/03/2015 08:50:43: created file: C:\GitHub\automated_tests_ArgusOpenMarkets\AOM\AOMUI\automated_tests\tests\TestData\UAT.OrderExecute.data.js_x000D_
04/03/2015 08:50:43: created file: C:\GitHub\automated_tests_ArgusOpenMarkets\AOM\AOMUI\automated_tests\tests\TestData\UAT.OrderCleanup.data.js_x000D_
04/03/2015 08:50:43: created file: C:\GitHub\automated_tests_ArgusOpenMarkets\AOM\AOMUI\automated_tests\tests\TestData\UAT.OrderConcurrencyUpdatedBeforeUpdate.data.js_x000D_
04/03/2015 08:50:43: created file: C:\GitHub\automated_tests_ArgusOpenMarkets\AOM\AOMUI\automated_tests\tests\TestData\UAT.OrderConcurrencyUpdatedBeforeKill.data.js_x000D_
04/03/2015 08:50:43: created file: C:\GitHub\automated_tests_ArgusOpenMarkets\AOM\AOMUI\automated_tests\tests\TestData\UAT.OrderConcurrencyUpdatedBeforeHold.data.js_x000D_
04/03/2015 08:50:43: created file: C:\GitHub\automated_tests_ArgusOpenMarkets\AOM\AOMUI\automated_tests\tests\TestData\UAT.OrderConcurrencyUpdatedBeforeExecute.data.js_x000D_
04/03/2015 08:50:43: created file: C:\GitHub\automated_tests_ArgusOpenMarkets\AOM\AOMUI\automated_tests\tests\TestData\UAT.OrderConcurrencyUpdatedBeforeReinstate.data.js_x000D_
04/03/2015 08:50:43: created file: C:\GitHub\automated_tests_ArgusOpenMarkets\AOM\AOMUI\automated_tests\tests\TestData\UAT.OrderConcurrencyHeldBeforeUpdate.data.js_x000D_
04/03/2015 08:50:43: created file: C:\GitHub\automated_tests_ArgusOpenMarkets\AOM\AOMUI\automated_tests\tests\TestData\UAT.OrderConcurrencyHeldBeforeKill.data.js_x000D_
04/03/2015 08:50:43: created file: C:\GitHub\automated_tests_ArgusOpenMarkets\AOM\AOMUI\automated_tests\tests\TestData\UAT.OrderConcurrencyHeldBeforeHold.data.js_x000D_
04/03/2015 08:50:43: created file: C:\GitHub\automated_tests_ArgusOpenMarkets\AOM\AOMUI\automated_tests\tests\TestData\UAT.OrderConcurrencyHeldBeforeExecute.data.js_x000D_
04/03/2015 08:50:43: created file: C:\GitHub\automated_tests_ArgusOpenMarkets\AOM\AOMUI\automated_tests\tests\TestData\UAT.OrderConcurrencyKilledBeforeUpdate.data.js_x000D_
04/03/2015 08:50:43: created file: C:\GitHub\automated_tests_ArgusOpenMarkets\AOM\AOMUI\automated_tests\tests\TestData\UAT.OrderConcurrencyKilledBeforeKill.data.js_x000D_
04/03/2015 08:50:43: created file: C:\GitHub\automated_tests_ArgusOpenMarkets\AOM\AOMUI\automated_tests\tests\TestData\UAT.OrderConcurrencyKilledBeforeHold.data.js_x000D_
04/03/2015 08:50:43: created file: C:\GitHub\automated_tests_ArgusOpenMarkets\AOM\AOMUI\automated_tests\tests\TestData\UAT.OrderConcurrencyKilledBeforeExecute.data.js_x000D_
04/03/2015 08:50:43: created file: C:\GitHub\automated_tests_ArgusOpenMarkets\AOM\AOMUI\automated_tests\tests\TestData\UAT.OrderConcurrencyKilledBeforeReinstate.data.js_x000D_
04/03/2015 08:50:43: created file: C:\GitHub\automated_tests_ArgusOpenMarkets\AOM\AOMU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</si>
</sst>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1"/>
      <color rgb="FF0070C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18">
    <xf numFmtId="0" fontId="0" fillId="0" borderId="0" xfId="0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3" fillId="0" borderId="0" xfId="0" applyFont="1" applyFill="1" applyBorder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8" fillId="0" borderId="0" xfId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D12" sqref="D12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5"/>
      <c r="F1" s="5"/>
    </row>
    <row r="4" spans="1:6" x14ac:dyDescent="0.25">
      <c r="F4" s="9"/>
    </row>
    <row r="6" spans="1:6" x14ac:dyDescent="0.25">
      <c r="A6" s="5"/>
    </row>
    <row r="7" spans="1:6" x14ac:dyDescent="0.25">
      <c r="A7" s="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367"/>
  <sheetViews>
    <sheetView tabSelected="1" zoomScaleNormal="100" workbookViewId="0">
      <selection activeCell="A42" sqref="A42"/>
    </sheetView>
  </sheetViews>
  <sheetFormatPr defaultRowHeight="15" x14ac:dyDescent="0.25"/>
  <cols>
    <col min="1" max="1" width="27" style="3" customWidth="1"/>
    <col min="2" max="4" width="32.7109375" style="3" customWidth="1"/>
    <col min="5" max="5" width="26.5703125" style="3" bestFit="1" customWidth="1"/>
    <col min="6" max="6" width="14.42578125" style="3" bestFit="1" customWidth="1"/>
    <col min="7" max="7" width="16.85546875" style="3" bestFit="1" customWidth="1"/>
    <col min="8" max="8" width="17.85546875" style="3" bestFit="1" customWidth="1"/>
    <col min="9" max="10" width="16.85546875" style="3" bestFit="1" customWidth="1"/>
    <col min="11" max="11" width="18.5703125" style="3" bestFit="1" customWidth="1"/>
    <col min="12" max="12" width="9.42578125" style="3" bestFit="1" customWidth="1"/>
    <col min="13" max="13" width="17" style="3" bestFit="1" customWidth="1"/>
    <col min="14" max="16384" width="9.140625" style="3"/>
  </cols>
  <sheetData>
    <row r="1" spans="1:10" s="4" customFormat="1" x14ac:dyDescent="0.25">
      <c r="A1" s="4" t="s">
        <v>3</v>
      </c>
      <c r="B1" s="4" t="s">
        <v>6</v>
      </c>
      <c r="C1" s="4" t="s">
        <v>109</v>
      </c>
      <c r="D1" s="4" t="s">
        <v>8</v>
      </c>
      <c r="E1" s="4" t="s">
        <v>110</v>
      </c>
      <c r="F1" s="4" t="s">
        <v>25</v>
      </c>
      <c r="G1" s="4" t="s">
        <v>27</v>
      </c>
      <c r="H1" s="4" t="s">
        <v>169</v>
      </c>
    </row>
    <row r="2" spans="1:10" s="4" customFormat="1" x14ac:dyDescent="0.25">
      <c r="A2" s="3" t="s">
        <v>157</v>
      </c>
      <c r="B2" s="3" t="s">
        <v>152</v>
      </c>
      <c r="C2" s="3" t="s">
        <v>152</v>
      </c>
      <c r="D2" s="3" t="s">
        <v>234</v>
      </c>
      <c r="E2" s="3" t="s">
        <v>234</v>
      </c>
      <c r="F2" s="3" t="s">
        <v>26</v>
      </c>
      <c r="G2" s="3" t="s">
        <v>28</v>
      </c>
      <c r="H2" s="3" t="s">
        <v>170</v>
      </c>
      <c r="I2" s="3"/>
      <c r="J2" s="3"/>
    </row>
    <row r="3" spans="1:10" s="4" customForma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x14ac:dyDescent="0.25">
      <c r="A4" s="4" t="s">
        <v>3</v>
      </c>
      <c r="B4" s="4" t="s">
        <v>11</v>
      </c>
      <c r="C4" s="4" t="s">
        <v>2</v>
      </c>
      <c r="D4" s="4" t="s">
        <v>47</v>
      </c>
      <c r="E4" s="4"/>
      <c r="F4" s="4"/>
    </row>
    <row r="5" spans="1:10" x14ac:dyDescent="0.25">
      <c r="A5" s="3" t="s">
        <v>158</v>
      </c>
      <c r="B5" s="3" t="s">
        <v>139</v>
      </c>
      <c r="C5" s="3" t="s">
        <v>151</v>
      </c>
      <c r="D5" s="3" t="s">
        <v>147</v>
      </c>
    </row>
    <row r="6" spans="1:10" x14ac:dyDescent="0.25">
      <c r="A6" s="3" t="s">
        <v>160</v>
      </c>
      <c r="B6" s="3" t="s">
        <v>140</v>
      </c>
      <c r="C6" s="3" t="s">
        <v>151</v>
      </c>
      <c r="D6" s="3" t="s">
        <v>147</v>
      </c>
    </row>
    <row r="7" spans="1:10" x14ac:dyDescent="0.25">
      <c r="A7" s="3" t="s">
        <v>161</v>
      </c>
      <c r="B7" s="3" t="s">
        <v>141</v>
      </c>
      <c r="C7" s="3" t="s">
        <v>151</v>
      </c>
      <c r="D7" s="3" t="s">
        <v>148</v>
      </c>
    </row>
    <row r="8" spans="1:10" x14ac:dyDescent="0.25">
      <c r="A8" s="3" t="s">
        <v>162</v>
      </c>
      <c r="B8" s="3" t="s">
        <v>142</v>
      </c>
      <c r="C8" s="3" t="s">
        <v>151</v>
      </c>
      <c r="D8" s="3" t="s">
        <v>148</v>
      </c>
    </row>
    <row r="9" spans="1:10" x14ac:dyDescent="0.25">
      <c r="A9" s="3" t="s">
        <v>163</v>
      </c>
      <c r="B9" s="3" t="s">
        <v>143</v>
      </c>
      <c r="C9" s="3" t="s">
        <v>151</v>
      </c>
      <c r="D9" s="3" t="s">
        <v>149</v>
      </c>
    </row>
    <row r="10" spans="1:10" x14ac:dyDescent="0.25">
      <c r="A10" s="3" t="s">
        <v>164</v>
      </c>
      <c r="B10" s="3" t="s">
        <v>144</v>
      </c>
      <c r="C10" s="3" t="s">
        <v>151</v>
      </c>
      <c r="D10" s="3" t="s">
        <v>150</v>
      </c>
    </row>
    <row r="11" spans="1:10" x14ac:dyDescent="0.25">
      <c r="A11" s="3" t="s">
        <v>165</v>
      </c>
      <c r="B11" s="3" t="s">
        <v>145</v>
      </c>
      <c r="C11" s="3" t="s">
        <v>151</v>
      </c>
      <c r="D11" s="3" t="s">
        <v>120</v>
      </c>
      <c r="E11" s="4"/>
      <c r="F11" s="4"/>
    </row>
    <row r="12" spans="1:10" x14ac:dyDescent="0.25">
      <c r="A12" s="3" t="s">
        <v>166</v>
      </c>
      <c r="B12" s="3" t="s">
        <v>146</v>
      </c>
      <c r="C12" s="3" t="s">
        <v>151</v>
      </c>
      <c r="D12" s="3" t="s">
        <v>149</v>
      </c>
      <c r="E12" s="4"/>
      <c r="F12" s="4"/>
    </row>
    <row r="13" spans="1:10" x14ac:dyDescent="0.25">
      <c r="A13" s="3" t="s">
        <v>159</v>
      </c>
      <c r="B13" s="3" t="s">
        <v>153</v>
      </c>
      <c r="C13" s="3" t="s">
        <v>151</v>
      </c>
      <c r="D13" s="3" t="s">
        <v>120</v>
      </c>
    </row>
    <row r="14" spans="1:10" x14ac:dyDescent="0.25">
      <c r="A14" s="3" t="s">
        <v>235</v>
      </c>
      <c r="B14" s="3" t="s">
        <v>153</v>
      </c>
      <c r="C14" s="3" t="s">
        <v>151</v>
      </c>
      <c r="D14" s="3" t="s">
        <v>120</v>
      </c>
    </row>
    <row r="15" spans="1:10" x14ac:dyDescent="0.25">
      <c r="A15" s="3" t="s">
        <v>236</v>
      </c>
      <c r="B15" s="3" t="s">
        <v>145</v>
      </c>
      <c r="C15" s="3" t="s">
        <v>151</v>
      </c>
      <c r="D15" s="3" t="s">
        <v>120</v>
      </c>
    </row>
    <row r="16" spans="1:10" x14ac:dyDescent="0.25">
      <c r="A16" s="3" t="s">
        <v>296</v>
      </c>
      <c r="B16" s="3" t="s">
        <v>139</v>
      </c>
      <c r="C16" s="3" t="s">
        <v>151</v>
      </c>
      <c r="D16" s="3" t="s">
        <v>147</v>
      </c>
    </row>
    <row r="17" spans="1:10" x14ac:dyDescent="0.25">
      <c r="D17" s="4"/>
      <c r="E17" s="4"/>
      <c r="F17" s="4"/>
    </row>
    <row r="18" spans="1:10" s="4" customFormat="1" x14ac:dyDescent="0.25">
      <c r="A18" s="4" t="s">
        <v>3</v>
      </c>
      <c r="B18" s="4" t="s">
        <v>16</v>
      </c>
      <c r="C18" s="4" t="s">
        <v>168</v>
      </c>
    </row>
    <row r="19" spans="1:10" s="4" customFormat="1" x14ac:dyDescent="0.25">
      <c r="A19" s="3" t="s">
        <v>157</v>
      </c>
      <c r="B19" s="3" t="s">
        <v>149</v>
      </c>
      <c r="C19" s="3" t="s">
        <v>150</v>
      </c>
      <c r="F19" s="3"/>
      <c r="G19" s="3"/>
    </row>
    <row r="20" spans="1:10" s="4" customForma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0" x14ac:dyDescent="0.25">
      <c r="A21" s="4" t="s">
        <v>3</v>
      </c>
      <c r="B21" s="4" t="s">
        <v>11</v>
      </c>
      <c r="C21" s="4" t="s">
        <v>2</v>
      </c>
      <c r="D21" s="4" t="s">
        <v>13</v>
      </c>
      <c r="E21" s="4" t="s">
        <v>31</v>
      </c>
      <c r="F21" s="4" t="s">
        <v>16</v>
      </c>
    </row>
    <row r="22" spans="1:10" x14ac:dyDescent="0.25">
      <c r="A22" s="3" t="s">
        <v>48</v>
      </c>
      <c r="B22" s="3" t="s">
        <v>139</v>
      </c>
      <c r="C22" s="3" t="s">
        <v>151</v>
      </c>
      <c r="D22" s="3">
        <v>30000</v>
      </c>
      <c r="E22" s="3">
        <v>200</v>
      </c>
      <c r="F22" s="3" t="s">
        <v>149</v>
      </c>
    </row>
    <row r="24" spans="1:10" s="4" customFormat="1" x14ac:dyDescent="0.25">
      <c r="A24" s="4" t="s">
        <v>3</v>
      </c>
      <c r="B24" s="4" t="s">
        <v>7</v>
      </c>
      <c r="C24" s="4" t="s">
        <v>177</v>
      </c>
      <c r="D24" s="4" t="s">
        <v>21</v>
      </c>
      <c r="E24" s="4" t="s">
        <v>40</v>
      </c>
      <c r="F24" s="4" t="s">
        <v>23</v>
      </c>
      <c r="G24" s="4" t="s">
        <v>43</v>
      </c>
    </row>
    <row r="25" spans="1:10" s="4" customFormat="1" x14ac:dyDescent="0.25">
      <c r="A25" s="8" t="s">
        <v>232</v>
      </c>
      <c r="B25" s="8">
        <v>12500</v>
      </c>
      <c r="C25" s="8">
        <v>17500</v>
      </c>
      <c r="D25" s="8">
        <v>701</v>
      </c>
      <c r="E25" s="8">
        <v>705</v>
      </c>
      <c r="F25" s="8">
        <v>301</v>
      </c>
      <c r="G25" s="8">
        <v>305</v>
      </c>
    </row>
    <row r="26" spans="1:10" s="4" customFormat="1" x14ac:dyDescent="0.25">
      <c r="A26" s="4" t="s">
        <v>3</v>
      </c>
      <c r="B26" s="4" t="s">
        <v>9</v>
      </c>
      <c r="C26" s="4" t="s">
        <v>178</v>
      </c>
      <c r="D26" s="4" t="s">
        <v>22</v>
      </c>
      <c r="E26" s="4" t="s">
        <v>41</v>
      </c>
      <c r="F26" s="4" t="s">
        <v>24</v>
      </c>
      <c r="G26" s="4" t="s">
        <v>42</v>
      </c>
    </row>
    <row r="27" spans="1:10" s="4" customFormat="1" x14ac:dyDescent="0.25">
      <c r="A27" s="8" t="s">
        <v>232</v>
      </c>
      <c r="B27" s="8">
        <v>1000</v>
      </c>
      <c r="C27" s="8">
        <v>2000</v>
      </c>
      <c r="D27" s="8">
        <v>702</v>
      </c>
      <c r="E27" s="8">
        <v>706</v>
      </c>
      <c r="F27" s="8">
        <v>302</v>
      </c>
      <c r="G27" s="8">
        <v>306</v>
      </c>
    </row>
    <row r="28" spans="1:10" x14ac:dyDescent="0.25">
      <c r="A28" s="4" t="s">
        <v>3</v>
      </c>
      <c r="B28" s="4" t="s">
        <v>29</v>
      </c>
      <c r="C28" s="4" t="s">
        <v>0</v>
      </c>
      <c r="D28" s="4" t="s">
        <v>30</v>
      </c>
      <c r="E28" s="4" t="s">
        <v>1</v>
      </c>
    </row>
    <row r="29" spans="1:10" s="8" customFormat="1" x14ac:dyDescent="0.25">
      <c r="A29" s="8" t="s">
        <v>233</v>
      </c>
      <c r="B29" s="8" t="s">
        <v>139</v>
      </c>
      <c r="C29" s="8" t="s">
        <v>151</v>
      </c>
      <c r="D29" s="8" t="s">
        <v>141</v>
      </c>
      <c r="E29" s="8" t="s">
        <v>151</v>
      </c>
    </row>
    <row r="30" spans="1:10" s="4" customFormat="1" x14ac:dyDescent="0.25">
      <c r="A30" s="8"/>
      <c r="B30" s="3"/>
      <c r="C30" s="3"/>
      <c r="D30" s="3"/>
      <c r="E30" s="3"/>
      <c r="F30" s="3"/>
      <c r="G30" s="3"/>
      <c r="H30" s="3"/>
    </row>
    <row r="31" spans="1:10" s="4" customFormat="1" x14ac:dyDescent="0.25">
      <c r="A31" s="4" t="s">
        <v>3</v>
      </c>
      <c r="B31" s="4" t="s">
        <v>7</v>
      </c>
      <c r="C31" s="4" t="s">
        <v>21</v>
      </c>
      <c r="D31" s="4" t="s">
        <v>22</v>
      </c>
      <c r="E31" s="4" t="s">
        <v>23</v>
      </c>
      <c r="F31" s="4" t="s">
        <v>24</v>
      </c>
      <c r="G31" s="4" t="s">
        <v>9</v>
      </c>
    </row>
    <row r="32" spans="1:10" s="4" customFormat="1" x14ac:dyDescent="0.25">
      <c r="A32" s="3" t="s">
        <v>20</v>
      </c>
      <c r="B32" s="3">
        <v>17500</v>
      </c>
      <c r="C32" s="3">
        <v>800</v>
      </c>
      <c r="D32" s="3">
        <v>801</v>
      </c>
      <c r="E32" s="3">
        <v>400</v>
      </c>
      <c r="F32" s="3">
        <v>401</v>
      </c>
      <c r="G32" s="3">
        <v>1000</v>
      </c>
      <c r="H32" s="3"/>
    </row>
    <row r="33" spans="1:13" s="4" customFormat="1" x14ac:dyDescent="0.25">
      <c r="A33" s="3" t="s">
        <v>4</v>
      </c>
      <c r="B33" s="3">
        <v>25000</v>
      </c>
      <c r="C33" s="3">
        <v>820</v>
      </c>
      <c r="D33" s="3">
        <v>821</v>
      </c>
      <c r="E33" s="3">
        <v>420</v>
      </c>
      <c r="F33" s="3">
        <v>421</v>
      </c>
      <c r="G33" s="3">
        <v>2000</v>
      </c>
      <c r="H33" s="3"/>
    </row>
    <row r="34" spans="1:13" s="4" customFormat="1" x14ac:dyDescent="0.25">
      <c r="A34" s="3" t="s">
        <v>33</v>
      </c>
      <c r="B34" s="3">
        <v>17500</v>
      </c>
      <c r="C34" s="3">
        <v>840</v>
      </c>
      <c r="D34" s="3">
        <v>841</v>
      </c>
      <c r="E34" s="3">
        <v>440</v>
      </c>
      <c r="F34" s="3">
        <v>441</v>
      </c>
      <c r="G34" s="3">
        <v>3000</v>
      </c>
      <c r="H34" s="3"/>
    </row>
    <row r="35" spans="1:13" s="4" customFormat="1" x14ac:dyDescent="0.25">
      <c r="A35" s="3" t="s">
        <v>34</v>
      </c>
      <c r="B35" s="3">
        <v>30000</v>
      </c>
      <c r="C35" s="3">
        <v>830</v>
      </c>
      <c r="D35" s="3">
        <v>831</v>
      </c>
      <c r="E35" s="3">
        <v>430</v>
      </c>
      <c r="F35" s="3">
        <v>431</v>
      </c>
      <c r="G35" s="3">
        <v>4000</v>
      </c>
      <c r="H35" s="3"/>
    </row>
    <row r="36" spans="1:13" s="4" customFormat="1" x14ac:dyDescent="0.25">
      <c r="A36" s="3" t="s">
        <v>36</v>
      </c>
      <c r="B36" s="3">
        <v>35000</v>
      </c>
      <c r="C36" s="3">
        <v>850</v>
      </c>
      <c r="D36" s="3">
        <v>851</v>
      </c>
      <c r="E36" s="3">
        <v>450</v>
      </c>
      <c r="F36" s="3">
        <v>451</v>
      </c>
      <c r="G36" s="3">
        <v>5000</v>
      </c>
      <c r="H36" s="3"/>
    </row>
    <row r="37" spans="1:13" s="4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3" s="4" customFormat="1" x14ac:dyDescent="0.25">
      <c r="A38" s="4" t="s">
        <v>3</v>
      </c>
      <c r="B38" s="4" t="s">
        <v>7</v>
      </c>
      <c r="C38" s="4" t="s">
        <v>177</v>
      </c>
      <c r="D38" s="4" t="s">
        <v>21</v>
      </c>
      <c r="E38" s="4" t="s">
        <v>22</v>
      </c>
      <c r="F38" s="4" t="s">
        <v>23</v>
      </c>
      <c r="G38" s="4" t="s">
        <v>24</v>
      </c>
      <c r="H38" s="4" t="s">
        <v>40</v>
      </c>
      <c r="I38" s="4" t="s">
        <v>41</v>
      </c>
      <c r="J38" s="4" t="s">
        <v>43</v>
      </c>
      <c r="K38" s="4" t="s">
        <v>42</v>
      </c>
      <c r="L38" s="4" t="s">
        <v>9</v>
      </c>
      <c r="M38" s="4" t="s">
        <v>178</v>
      </c>
    </row>
    <row r="39" spans="1:13" s="4" customFormat="1" x14ac:dyDescent="0.25">
      <c r="A39" s="3" t="s">
        <v>37</v>
      </c>
      <c r="B39" s="3">
        <v>12500</v>
      </c>
      <c r="C39" s="3">
        <v>17500</v>
      </c>
      <c r="D39" s="3">
        <v>860</v>
      </c>
      <c r="E39" s="3">
        <v>861</v>
      </c>
      <c r="F39" s="3">
        <v>460</v>
      </c>
      <c r="G39" s="3">
        <v>461</v>
      </c>
      <c r="H39" s="3">
        <v>865</v>
      </c>
      <c r="I39" s="3">
        <v>866</v>
      </c>
      <c r="J39" s="3">
        <v>465</v>
      </c>
      <c r="K39" s="3">
        <v>466</v>
      </c>
      <c r="L39" s="3">
        <v>1000</v>
      </c>
      <c r="M39" s="3">
        <v>2000</v>
      </c>
    </row>
    <row r="40" spans="1:13" s="4" customFormat="1" x14ac:dyDescent="0.25">
      <c r="A40" s="3" t="s">
        <v>38</v>
      </c>
      <c r="B40" s="3">
        <v>17500</v>
      </c>
      <c r="C40" s="3">
        <v>20000</v>
      </c>
      <c r="D40" s="3">
        <v>870</v>
      </c>
      <c r="E40" s="3">
        <v>871</v>
      </c>
      <c r="F40" s="3">
        <v>470</v>
      </c>
      <c r="G40" s="3">
        <v>471</v>
      </c>
      <c r="H40" s="3">
        <v>875</v>
      </c>
      <c r="I40" s="3">
        <v>876</v>
      </c>
      <c r="J40" s="3">
        <v>475</v>
      </c>
      <c r="K40" s="3">
        <v>476</v>
      </c>
      <c r="L40" s="3">
        <v>2000</v>
      </c>
      <c r="M40" s="3">
        <v>3000</v>
      </c>
    </row>
    <row r="41" spans="1:13" s="4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3" s="4" customFormat="1" x14ac:dyDescent="0.25">
      <c r="A42" s="4" t="s">
        <v>3</v>
      </c>
      <c r="B42" s="4" t="s">
        <v>13</v>
      </c>
      <c r="C42" s="4" t="s">
        <v>31</v>
      </c>
      <c r="D42" s="4" t="s">
        <v>32</v>
      </c>
    </row>
    <row r="43" spans="1:13" x14ac:dyDescent="0.25">
      <c r="A43" s="3" t="s">
        <v>19</v>
      </c>
      <c r="B43" s="3">
        <v>12500</v>
      </c>
      <c r="C43" s="3">
        <v>810</v>
      </c>
      <c r="D43" s="3">
        <v>410</v>
      </c>
    </row>
    <row r="45" spans="1:13" x14ac:dyDescent="0.25">
      <c r="A45" s="4" t="s">
        <v>3</v>
      </c>
      <c r="B45" s="4" t="s">
        <v>29</v>
      </c>
      <c r="C45" s="4" t="s">
        <v>0</v>
      </c>
      <c r="D45" s="4" t="s">
        <v>30</v>
      </c>
      <c r="E45" s="4" t="s">
        <v>1</v>
      </c>
    </row>
    <row r="46" spans="1:13" x14ac:dyDescent="0.25">
      <c r="A46" s="3" t="s">
        <v>18</v>
      </c>
      <c r="B46" s="3" t="s">
        <v>139</v>
      </c>
      <c r="C46" s="3" t="s">
        <v>151</v>
      </c>
      <c r="D46" s="3" t="s">
        <v>141</v>
      </c>
      <c r="E46" s="3" t="s">
        <v>151</v>
      </c>
    </row>
    <row r="48" spans="1:13" x14ac:dyDescent="0.25">
      <c r="A48" s="4" t="s">
        <v>3</v>
      </c>
      <c r="B48" s="4" t="s">
        <v>230</v>
      </c>
      <c r="C48" s="4"/>
      <c r="D48" s="4"/>
      <c r="E48" s="4"/>
    </row>
    <row r="49" spans="1:11" x14ac:dyDescent="0.25">
      <c r="A49" s="3" t="s">
        <v>229</v>
      </c>
      <c r="B49" s="3" t="s">
        <v>231</v>
      </c>
    </row>
    <row r="51" spans="1:11" x14ac:dyDescent="0.25">
      <c r="A51" s="4" t="s">
        <v>3</v>
      </c>
      <c r="B51" s="4" t="s">
        <v>13</v>
      </c>
      <c r="C51" s="4" t="s">
        <v>31</v>
      </c>
      <c r="D51" s="4" t="s">
        <v>46</v>
      </c>
      <c r="H51" s="4"/>
      <c r="I51" s="4"/>
      <c r="K51" s="4"/>
    </row>
    <row r="52" spans="1:11" x14ac:dyDescent="0.25">
      <c r="A52" s="3" t="s">
        <v>80</v>
      </c>
      <c r="B52" s="3">
        <v>15500</v>
      </c>
      <c r="C52" s="3">
        <v>890</v>
      </c>
      <c r="D52" s="3" t="str">
        <f>"could not be amended as " &amp; D156 &amp; " updated this order at"</f>
        <v>could not be amended as Alpha Trading updated this order at</v>
      </c>
    </row>
    <row r="53" spans="1:11" x14ac:dyDescent="0.25">
      <c r="A53" s="3" t="s">
        <v>81</v>
      </c>
      <c r="B53" s="3">
        <v>14500</v>
      </c>
      <c r="C53" s="3">
        <v>900</v>
      </c>
      <c r="D53" s="3" t="str">
        <f>"could not be killed as " &amp; D158 &amp; " updated this order at"</f>
        <v>could not be killed as Alpha Trading updated this order at</v>
      </c>
    </row>
    <row r="54" spans="1:11" x14ac:dyDescent="0.25">
      <c r="A54" s="3" t="s">
        <v>82</v>
      </c>
      <c r="B54" s="3">
        <v>18500</v>
      </c>
      <c r="C54" s="3">
        <v>910</v>
      </c>
      <c r="D54" s="3" t="str">
        <f>"could not be held as " &amp; D160 &amp; " updated this order at"</f>
        <v>could not be held as Alpha Trading updated this order at</v>
      </c>
    </row>
    <row r="55" spans="1:11" x14ac:dyDescent="0.25">
      <c r="A55" s="3" t="s">
        <v>83</v>
      </c>
      <c r="B55" s="3">
        <v>19500</v>
      </c>
      <c r="C55" s="3">
        <v>920</v>
      </c>
      <c r="D55" s="3" t="str">
        <f>"could not be hit as " &amp; D162 &amp; " updated this order at"</f>
        <v>could not be hit as Alpha Trading updated this order at</v>
      </c>
    </row>
    <row r="56" spans="1:11" x14ac:dyDescent="0.25">
      <c r="A56" s="3" t="s">
        <v>84</v>
      </c>
      <c r="B56" s="3">
        <v>20000</v>
      </c>
      <c r="C56" s="3">
        <v>930</v>
      </c>
      <c r="D56" s="3" t="str">
        <f>"could not be reinstated as " &amp; D164 &amp; " updated this order at"</f>
        <v>could not be reinstated as Alpha Trading updated this order at</v>
      </c>
    </row>
    <row r="58" spans="1:11" x14ac:dyDescent="0.25">
      <c r="A58" s="4" t="s">
        <v>3</v>
      </c>
      <c r="B58" s="4" t="s">
        <v>13</v>
      </c>
      <c r="C58" s="4" t="s">
        <v>31</v>
      </c>
      <c r="D58" s="4" t="s">
        <v>46</v>
      </c>
    </row>
    <row r="59" spans="1:11" x14ac:dyDescent="0.25">
      <c r="A59" s="3" t="s">
        <v>95</v>
      </c>
      <c r="B59" s="3">
        <v>21500</v>
      </c>
      <c r="C59" s="3">
        <v>215</v>
      </c>
      <c r="D59" s="3" t="str">
        <f>"could not be amended as " &amp; D168 &amp; " withdrew this order at"</f>
        <v>could not be amended as Alpha Trading withdrew this order at</v>
      </c>
    </row>
    <row r="60" spans="1:11" x14ac:dyDescent="0.25">
      <c r="A60" s="3" t="s">
        <v>96</v>
      </c>
      <c r="B60" s="3">
        <v>24500</v>
      </c>
      <c r="C60" s="3">
        <v>245</v>
      </c>
      <c r="D60" s="3" t="str">
        <f>"could not be killed as " &amp; D170 &amp; " withdrew this order at"</f>
        <v>could not be killed as Alpha Trading withdrew this order at</v>
      </c>
    </row>
    <row r="61" spans="1:11" x14ac:dyDescent="0.25">
      <c r="A61" s="3" t="s">
        <v>97</v>
      </c>
      <c r="B61" s="3">
        <v>28500</v>
      </c>
      <c r="C61" s="3">
        <v>285</v>
      </c>
      <c r="D61" s="3" t="str">
        <f>"could not be held as " &amp; D172 &amp; " withdrew this order at"</f>
        <v>could not be held as Alpha Trading withdrew this order at</v>
      </c>
    </row>
    <row r="62" spans="1:11" x14ac:dyDescent="0.25">
      <c r="A62" s="3" t="s">
        <v>98</v>
      </c>
      <c r="B62" s="3">
        <v>29500</v>
      </c>
      <c r="C62" s="3">
        <v>295</v>
      </c>
      <c r="D62" s="3" t="str">
        <f>"could not be hit as " &amp; D174 &amp; " withdrew this order at"</f>
        <v>could not be hit as Alpha Trading withdrew this order at</v>
      </c>
    </row>
    <row r="64" spans="1:11" x14ac:dyDescent="0.25">
      <c r="A64" s="4" t="s">
        <v>3</v>
      </c>
      <c r="B64" s="4" t="s">
        <v>13</v>
      </c>
      <c r="C64" s="4" t="s">
        <v>31</v>
      </c>
      <c r="D64" s="4" t="s">
        <v>46</v>
      </c>
    </row>
    <row r="65" spans="1:4" x14ac:dyDescent="0.25">
      <c r="A65" s="3" t="s">
        <v>66</v>
      </c>
      <c r="B65" s="3">
        <v>21000</v>
      </c>
      <c r="C65" s="3">
        <v>790</v>
      </c>
      <c r="D65" s="3" t="str">
        <f>"could not be amended as " &amp; D178 &amp; " withdrew this order at"</f>
        <v>could not be amended as Alpha Trading withdrew this order at</v>
      </c>
    </row>
    <row r="66" spans="1:4" x14ac:dyDescent="0.25">
      <c r="A66" s="3" t="s">
        <v>67</v>
      </c>
      <c r="B66" s="3">
        <v>22000</v>
      </c>
      <c r="C66" s="3">
        <v>700</v>
      </c>
      <c r="D66" s="3" t="str">
        <f>"could not be killed as " &amp; D180 &amp; " withdrew this order at"</f>
        <v>could not be killed as Alpha Trading withdrew this order at</v>
      </c>
    </row>
    <row r="67" spans="1:4" x14ac:dyDescent="0.25">
      <c r="A67" s="3" t="s">
        <v>68</v>
      </c>
      <c r="B67" s="3">
        <v>23000</v>
      </c>
      <c r="C67" s="3">
        <v>710</v>
      </c>
      <c r="D67" s="3" t="str">
        <f>"could not be held as " &amp; D182 &amp; " withdrew this order at"</f>
        <v>could not be held as Alpha Trading withdrew this order at</v>
      </c>
    </row>
    <row r="68" spans="1:4" x14ac:dyDescent="0.25">
      <c r="A68" s="3" t="s">
        <v>69</v>
      </c>
      <c r="B68" s="3">
        <v>24000</v>
      </c>
      <c r="C68" s="3">
        <v>720</v>
      </c>
      <c r="D68" s="3" t="str">
        <f>"could not be hit as " &amp; D184 &amp; " withdrew this order at"</f>
        <v>could not be hit as Alpha Trading withdrew this order at</v>
      </c>
    </row>
    <row r="69" spans="1:4" x14ac:dyDescent="0.25">
      <c r="A69" s="3" t="s">
        <v>70</v>
      </c>
      <c r="B69" s="3">
        <v>25000</v>
      </c>
      <c r="C69" s="3">
        <v>730</v>
      </c>
      <c r="D69" s="3" t="str">
        <f>"could not be reinstated as " &amp; D186 &amp; " withdrew this order at"</f>
        <v>could not be reinstated as Alpha Trading withdrew this order at</v>
      </c>
    </row>
    <row r="71" spans="1:4" x14ac:dyDescent="0.25">
      <c r="A71" s="4" t="s">
        <v>3</v>
      </c>
      <c r="B71" s="4" t="s">
        <v>13</v>
      </c>
      <c r="C71" s="4" t="s">
        <v>31</v>
      </c>
      <c r="D71" s="4" t="s">
        <v>46</v>
      </c>
    </row>
    <row r="72" spans="1:4" x14ac:dyDescent="0.25">
      <c r="A72" s="3" t="s">
        <v>71</v>
      </c>
      <c r="B72" s="3">
        <v>26000</v>
      </c>
      <c r="C72" s="3">
        <v>740</v>
      </c>
      <c r="D72" s="3" t="str">
        <f>"could not be amended as " &amp; D191 &amp; " hit this order at"</f>
        <v>could not be amended as Bravo Trading hit this order at</v>
      </c>
    </row>
    <row r="73" spans="1:4" x14ac:dyDescent="0.25">
      <c r="A73" s="3" t="s">
        <v>72</v>
      </c>
      <c r="B73" s="3">
        <v>27000</v>
      </c>
      <c r="C73" s="3">
        <v>750</v>
      </c>
      <c r="D73" s="3" t="str">
        <f>"could not be killed as " &amp; D193 &amp; " hit this order at"</f>
        <v>could not be killed as Bravo Trading hit this order at</v>
      </c>
    </row>
    <row r="74" spans="1:4" x14ac:dyDescent="0.25">
      <c r="A74" s="3" t="s">
        <v>73</v>
      </c>
      <c r="B74" s="3">
        <v>28000</v>
      </c>
      <c r="C74" s="3">
        <v>780</v>
      </c>
      <c r="D74" s="3" t="str">
        <f>"could not be held as " &amp; D195 &amp; " hit this order at"</f>
        <v>could not be held as Bravo Trading hit this order at</v>
      </c>
    </row>
    <row r="75" spans="1:4" x14ac:dyDescent="0.25">
      <c r="A75" s="3" t="s">
        <v>74</v>
      </c>
      <c r="B75" s="3">
        <v>29000</v>
      </c>
      <c r="C75" s="3">
        <v>790</v>
      </c>
      <c r="D75" s="3" t="s">
        <v>108</v>
      </c>
    </row>
    <row r="77" spans="1:4" x14ac:dyDescent="0.25">
      <c r="A77" s="4" t="s">
        <v>3</v>
      </c>
      <c r="B77" s="4" t="s">
        <v>13</v>
      </c>
      <c r="C77" s="4" t="s">
        <v>31</v>
      </c>
      <c r="D77" s="4" t="s">
        <v>46</v>
      </c>
    </row>
    <row r="78" spans="1:4" x14ac:dyDescent="0.25">
      <c r="A78" s="3" t="s">
        <v>111</v>
      </c>
      <c r="B78" s="3">
        <v>21000</v>
      </c>
      <c r="C78" s="3">
        <v>740</v>
      </c>
      <c r="D78" s="3" t="str">
        <f>"could not be amended as " &amp; D204 &amp; " reinstated this order at"</f>
        <v>could not be amended as Alpha Trading reinstated this order at</v>
      </c>
    </row>
    <row r="79" spans="1:4" x14ac:dyDescent="0.25">
      <c r="A79" s="3" t="s">
        <v>112</v>
      </c>
      <c r="B79" s="3">
        <v>22000</v>
      </c>
      <c r="C79" s="3">
        <v>750</v>
      </c>
      <c r="D79" s="3" t="str">
        <f>"could not be killed as " &amp; D206 &amp; " reinstated this order at"</f>
        <v>could not be killed as Alpha Trading reinstated this order at</v>
      </c>
    </row>
    <row r="80" spans="1:4" x14ac:dyDescent="0.25">
      <c r="A80" s="3" t="s">
        <v>113</v>
      </c>
      <c r="B80" s="3">
        <v>24000</v>
      </c>
      <c r="C80" s="3">
        <v>790</v>
      </c>
      <c r="D80" s="3" t="str">
        <f>"could not be reinstated as " &amp; D208 &amp; " reinstated this order at"</f>
        <v>could not be reinstated as Alpha Trading reinstated this order at</v>
      </c>
    </row>
    <row r="82" spans="1:4" x14ac:dyDescent="0.25">
      <c r="A82" s="4" t="s">
        <v>3</v>
      </c>
      <c r="B82" s="4" t="s">
        <v>39</v>
      </c>
      <c r="C82" s="4" t="s">
        <v>44</v>
      </c>
      <c r="D82" s="4" t="s">
        <v>45</v>
      </c>
    </row>
    <row r="83" spans="1:4" x14ac:dyDescent="0.25">
      <c r="A83" s="3" t="s">
        <v>85</v>
      </c>
      <c r="B83" s="3">
        <v>16500</v>
      </c>
      <c r="C83" s="3">
        <v>895</v>
      </c>
      <c r="D83" s="3">
        <v>3000</v>
      </c>
    </row>
    <row r="84" spans="1:4" x14ac:dyDescent="0.25">
      <c r="A84" s="3" t="s">
        <v>86</v>
      </c>
      <c r="B84" s="3">
        <v>17500</v>
      </c>
      <c r="C84" s="3">
        <v>896</v>
      </c>
      <c r="D84" s="3">
        <v>7000</v>
      </c>
    </row>
    <row r="85" spans="1:4" x14ac:dyDescent="0.25">
      <c r="A85" s="3" t="s">
        <v>99</v>
      </c>
      <c r="B85" s="3">
        <v>17500</v>
      </c>
      <c r="C85" s="3">
        <v>896</v>
      </c>
      <c r="D85" s="3">
        <v>2000</v>
      </c>
    </row>
    <row r="86" spans="1:4" x14ac:dyDescent="0.25">
      <c r="A86" s="3" t="s">
        <v>78</v>
      </c>
      <c r="B86" s="3">
        <v>18000</v>
      </c>
      <c r="C86" s="3">
        <v>770</v>
      </c>
      <c r="D86" s="3">
        <v>2000</v>
      </c>
    </row>
    <row r="87" spans="1:4" x14ac:dyDescent="0.25">
      <c r="A87" s="3" t="s">
        <v>76</v>
      </c>
      <c r="B87" s="3">
        <v>18500</v>
      </c>
      <c r="C87" s="3">
        <v>775</v>
      </c>
      <c r="D87" s="3">
        <v>7000</v>
      </c>
    </row>
    <row r="88" spans="1:4" x14ac:dyDescent="0.25">
      <c r="A88" s="3" t="s">
        <v>114</v>
      </c>
      <c r="B88" s="3">
        <v>15500</v>
      </c>
      <c r="C88" s="3">
        <v>775</v>
      </c>
      <c r="D88" s="3">
        <v>5000</v>
      </c>
    </row>
    <row r="90" spans="1:4" x14ac:dyDescent="0.25">
      <c r="A90" s="4" t="s">
        <v>3</v>
      </c>
      <c r="B90" s="4" t="s">
        <v>45</v>
      </c>
      <c r="C90" s="4"/>
    </row>
    <row r="91" spans="1:4" x14ac:dyDescent="0.25">
      <c r="A91" s="3" t="s">
        <v>87</v>
      </c>
      <c r="B91" s="3">
        <v>2000</v>
      </c>
    </row>
    <row r="92" spans="1:4" x14ac:dyDescent="0.25">
      <c r="A92" s="3" t="s">
        <v>88</v>
      </c>
      <c r="B92" s="3">
        <v>9000</v>
      </c>
    </row>
    <row r="93" spans="1:4" x14ac:dyDescent="0.25">
      <c r="A93" s="3" t="s">
        <v>89</v>
      </c>
      <c r="B93" s="3">
        <v>2000</v>
      </c>
    </row>
    <row r="94" spans="1:4" x14ac:dyDescent="0.25">
      <c r="A94" s="3" t="s">
        <v>90</v>
      </c>
      <c r="B94" s="3">
        <v>9000</v>
      </c>
    </row>
    <row r="95" spans="1:4" x14ac:dyDescent="0.25">
      <c r="A95" s="4" t="s">
        <v>91</v>
      </c>
      <c r="B95" s="3">
        <v>2000</v>
      </c>
    </row>
    <row r="96" spans="1:4" x14ac:dyDescent="0.25">
      <c r="A96" s="4" t="s">
        <v>92</v>
      </c>
      <c r="B96" s="3">
        <v>9000</v>
      </c>
    </row>
    <row r="97" spans="1:2" x14ac:dyDescent="0.25">
      <c r="A97" s="3" t="s">
        <v>93</v>
      </c>
      <c r="B97" s="3">
        <v>2000</v>
      </c>
    </row>
    <row r="98" spans="1:2" x14ac:dyDescent="0.25">
      <c r="A98" s="3" t="s">
        <v>94</v>
      </c>
      <c r="B98" s="3">
        <v>9000</v>
      </c>
    </row>
    <row r="100" spans="1:2" x14ac:dyDescent="0.25">
      <c r="A100" s="4" t="s">
        <v>3</v>
      </c>
      <c r="B100" s="4" t="s">
        <v>45</v>
      </c>
    </row>
    <row r="101" spans="1:2" x14ac:dyDescent="0.25">
      <c r="A101" s="3" t="s">
        <v>77</v>
      </c>
      <c r="B101" s="3">
        <v>7000</v>
      </c>
    </row>
    <row r="102" spans="1:2" x14ac:dyDescent="0.25">
      <c r="A102" s="3" t="s">
        <v>51</v>
      </c>
      <c r="B102" s="3">
        <v>3000</v>
      </c>
    </row>
    <row r="103" spans="1:2" x14ac:dyDescent="0.25">
      <c r="A103" s="3" t="s">
        <v>52</v>
      </c>
      <c r="B103" s="3">
        <v>7000</v>
      </c>
    </row>
    <row r="104" spans="1:2" x14ac:dyDescent="0.25">
      <c r="A104" s="3" t="s">
        <v>53</v>
      </c>
      <c r="B104" s="3">
        <v>3000</v>
      </c>
    </row>
    <row r="105" spans="1:2" x14ac:dyDescent="0.25">
      <c r="A105" s="3" t="s">
        <v>55</v>
      </c>
      <c r="B105" s="3">
        <v>3000</v>
      </c>
    </row>
    <row r="106" spans="1:2" x14ac:dyDescent="0.25">
      <c r="A106" s="3" t="s">
        <v>107</v>
      </c>
      <c r="B106" s="3">
        <v>5000</v>
      </c>
    </row>
    <row r="107" spans="1:2" x14ac:dyDescent="0.25">
      <c r="A107" s="3" t="s">
        <v>56</v>
      </c>
      <c r="B107" s="3">
        <v>7000</v>
      </c>
    </row>
    <row r="108" spans="1:2" x14ac:dyDescent="0.25">
      <c r="A108" s="3" t="s">
        <v>57</v>
      </c>
      <c r="B108" s="3">
        <v>3000</v>
      </c>
    </row>
    <row r="109" spans="1:2" x14ac:dyDescent="0.25">
      <c r="A109" s="3" t="s">
        <v>79</v>
      </c>
      <c r="B109" s="3">
        <v>3000</v>
      </c>
    </row>
    <row r="111" spans="1:2" x14ac:dyDescent="0.25">
      <c r="A111" s="4" t="s">
        <v>3</v>
      </c>
      <c r="B111" s="4" t="s">
        <v>45</v>
      </c>
    </row>
    <row r="112" spans="1:2" x14ac:dyDescent="0.25">
      <c r="A112" s="3" t="s">
        <v>58</v>
      </c>
      <c r="B112" s="3">
        <v>7000</v>
      </c>
    </row>
    <row r="113" spans="1:6" x14ac:dyDescent="0.25">
      <c r="A113" s="3" t="s">
        <v>59</v>
      </c>
      <c r="B113" s="3">
        <v>8000</v>
      </c>
    </row>
    <row r="114" spans="1:6" x14ac:dyDescent="0.25">
      <c r="A114" s="3" t="s">
        <v>60</v>
      </c>
      <c r="B114" s="3">
        <v>3000</v>
      </c>
    </row>
    <row r="115" spans="1:6" x14ac:dyDescent="0.25">
      <c r="A115" s="3" t="s">
        <v>61</v>
      </c>
      <c r="B115" s="3">
        <v>7000</v>
      </c>
    </row>
    <row r="116" spans="1:6" x14ac:dyDescent="0.25">
      <c r="A116" s="3" t="s">
        <v>62</v>
      </c>
      <c r="B116" s="3">
        <v>3000</v>
      </c>
    </row>
    <row r="117" spans="1:6" x14ac:dyDescent="0.25">
      <c r="A117" s="3" t="s">
        <v>63</v>
      </c>
      <c r="B117" s="3">
        <v>7000</v>
      </c>
    </row>
    <row r="118" spans="1:6" s="4" customFormat="1" x14ac:dyDescent="0.25">
      <c r="A118" s="3" t="s">
        <v>64</v>
      </c>
      <c r="B118" s="3">
        <v>4000</v>
      </c>
      <c r="C118" s="3"/>
      <c r="D118" s="3"/>
      <c r="E118" s="3"/>
      <c r="F118" s="3"/>
    </row>
    <row r="119" spans="1:6" x14ac:dyDescent="0.25">
      <c r="A119" s="3" t="s">
        <v>65</v>
      </c>
      <c r="B119" s="3">
        <v>7000</v>
      </c>
    </row>
    <row r="120" spans="1:6" x14ac:dyDescent="0.25">
      <c r="A120" s="3" t="s">
        <v>75</v>
      </c>
      <c r="B120" s="3">
        <v>2000</v>
      </c>
    </row>
    <row r="122" spans="1:6" x14ac:dyDescent="0.25">
      <c r="A122" s="4" t="s">
        <v>3</v>
      </c>
      <c r="B122" s="4" t="s">
        <v>45</v>
      </c>
    </row>
    <row r="123" spans="1:6" x14ac:dyDescent="0.25">
      <c r="A123" s="3" t="s">
        <v>100</v>
      </c>
      <c r="B123" s="3">
        <v>4000</v>
      </c>
    </row>
    <row r="124" spans="1:6" x14ac:dyDescent="0.25">
      <c r="A124" s="3" t="s">
        <v>101</v>
      </c>
      <c r="B124" s="3">
        <v>5000</v>
      </c>
    </row>
    <row r="125" spans="1:6" x14ac:dyDescent="0.25">
      <c r="A125" s="3" t="s">
        <v>102</v>
      </c>
      <c r="B125" s="3">
        <v>3000</v>
      </c>
    </row>
    <row r="126" spans="1:6" x14ac:dyDescent="0.25">
      <c r="A126" s="3" t="s">
        <v>103</v>
      </c>
      <c r="B126" s="3">
        <v>5000</v>
      </c>
    </row>
    <row r="127" spans="1:6" x14ac:dyDescent="0.25">
      <c r="A127" s="4" t="s">
        <v>104</v>
      </c>
      <c r="B127" s="3">
        <v>3000</v>
      </c>
    </row>
    <row r="128" spans="1:6" x14ac:dyDescent="0.25">
      <c r="A128" s="4" t="s">
        <v>105</v>
      </c>
      <c r="B128" s="3">
        <v>5000</v>
      </c>
    </row>
    <row r="129" spans="1:9" x14ac:dyDescent="0.25">
      <c r="A129" s="3" t="s">
        <v>106</v>
      </c>
      <c r="B129" s="3">
        <v>3000</v>
      </c>
    </row>
    <row r="131" spans="1:9" x14ac:dyDescent="0.25">
      <c r="A131" s="4" t="s">
        <v>3</v>
      </c>
      <c r="B131" s="4" t="s">
        <v>45</v>
      </c>
    </row>
    <row r="132" spans="1:9" x14ac:dyDescent="0.25">
      <c r="A132" s="3" t="s">
        <v>115</v>
      </c>
      <c r="B132" s="3">
        <v>3000</v>
      </c>
    </row>
    <row r="133" spans="1:9" x14ac:dyDescent="0.25">
      <c r="A133" s="3" t="s">
        <v>116</v>
      </c>
      <c r="B133" s="3">
        <v>7000</v>
      </c>
    </row>
    <row r="134" spans="1:9" x14ac:dyDescent="0.25">
      <c r="A134" s="3" t="s">
        <v>117</v>
      </c>
      <c r="B134" s="3">
        <v>3000</v>
      </c>
    </row>
    <row r="135" spans="1:9" x14ac:dyDescent="0.25">
      <c r="A135" s="3" t="s">
        <v>118</v>
      </c>
      <c r="B135" s="3">
        <v>7000</v>
      </c>
      <c r="G135" s="4"/>
      <c r="H135" s="4"/>
      <c r="I135" s="4"/>
    </row>
    <row r="136" spans="1:9" x14ac:dyDescent="0.25">
      <c r="A136" s="3" t="s">
        <v>119</v>
      </c>
      <c r="B136" s="3">
        <v>3000</v>
      </c>
    </row>
    <row r="138" spans="1:9" x14ac:dyDescent="0.25">
      <c r="A138" s="4" t="s">
        <v>3</v>
      </c>
      <c r="B138" s="4" t="s">
        <v>45</v>
      </c>
    </row>
    <row r="139" spans="1:9" x14ac:dyDescent="0.25">
      <c r="A139" s="3" t="s">
        <v>35</v>
      </c>
      <c r="B139" s="3">
        <v>500</v>
      </c>
    </row>
    <row r="141" spans="1:9" x14ac:dyDescent="0.25">
      <c r="A141" s="4" t="s">
        <v>3</v>
      </c>
      <c r="B141" s="4" t="s">
        <v>39</v>
      </c>
      <c r="C141" s="4" t="s">
        <v>44</v>
      </c>
    </row>
    <row r="142" spans="1:9" x14ac:dyDescent="0.25">
      <c r="A142" s="3" t="s">
        <v>81</v>
      </c>
      <c r="B142" s="3">
        <v>15500</v>
      </c>
      <c r="C142" s="3">
        <v>905</v>
      </c>
    </row>
    <row r="143" spans="1:9" x14ac:dyDescent="0.25">
      <c r="A143" s="3" t="s">
        <v>82</v>
      </c>
      <c r="B143" s="3">
        <v>19500</v>
      </c>
      <c r="C143" s="3">
        <v>915</v>
      </c>
    </row>
    <row r="144" spans="1:9" x14ac:dyDescent="0.25">
      <c r="A144" s="3" t="s">
        <v>83</v>
      </c>
      <c r="B144" s="3">
        <v>20500</v>
      </c>
      <c r="C144" s="3">
        <v>925</v>
      </c>
    </row>
    <row r="145" spans="1:4" x14ac:dyDescent="0.25">
      <c r="A145" s="3" t="s">
        <v>84</v>
      </c>
      <c r="B145" s="3">
        <v>21500</v>
      </c>
      <c r="C145" s="3">
        <v>935</v>
      </c>
    </row>
    <row r="146" spans="1:4" x14ac:dyDescent="0.25">
      <c r="A146" s="3" t="s">
        <v>111</v>
      </c>
      <c r="B146" s="3">
        <v>16500</v>
      </c>
      <c r="C146" s="3">
        <v>856</v>
      </c>
    </row>
    <row r="148" spans="1:4" x14ac:dyDescent="0.25">
      <c r="A148" s="4" t="s">
        <v>3</v>
      </c>
      <c r="B148" s="4" t="s">
        <v>49</v>
      </c>
    </row>
    <row r="149" spans="1:4" x14ac:dyDescent="0.25">
      <c r="A149" s="3" t="s">
        <v>84</v>
      </c>
      <c r="B149" s="3">
        <v>21000</v>
      </c>
    </row>
    <row r="150" spans="1:4" x14ac:dyDescent="0.25">
      <c r="A150" s="3" t="s">
        <v>70</v>
      </c>
      <c r="B150" s="3">
        <v>26000</v>
      </c>
    </row>
    <row r="151" spans="1:4" x14ac:dyDescent="0.25">
      <c r="A151" s="3" t="s">
        <v>113</v>
      </c>
      <c r="B151" s="3">
        <v>18000</v>
      </c>
    </row>
    <row r="152" spans="1:4" x14ac:dyDescent="0.25">
      <c r="A152" s="3" t="s">
        <v>112</v>
      </c>
      <c r="B152" s="3">
        <v>18500</v>
      </c>
    </row>
    <row r="153" spans="1:4" x14ac:dyDescent="0.25">
      <c r="A153" s="3" t="s">
        <v>111</v>
      </c>
      <c r="B153" s="3">
        <v>19000</v>
      </c>
    </row>
    <row r="155" spans="1:4" x14ac:dyDescent="0.25">
      <c r="A155" s="4" t="s">
        <v>3</v>
      </c>
      <c r="B155" s="4" t="s">
        <v>11</v>
      </c>
      <c r="C155" s="4" t="s">
        <v>2</v>
      </c>
      <c r="D155" s="4" t="s">
        <v>47</v>
      </c>
    </row>
    <row r="156" spans="1:4" x14ac:dyDescent="0.25">
      <c r="A156" s="3" t="s">
        <v>85</v>
      </c>
      <c r="B156" s="3" t="s">
        <v>139</v>
      </c>
      <c r="C156" s="3" t="s">
        <v>151</v>
      </c>
      <c r="D156" s="3" t="s">
        <v>147</v>
      </c>
    </row>
    <row r="157" spans="1:4" x14ac:dyDescent="0.25">
      <c r="A157" s="3" t="s">
        <v>86</v>
      </c>
      <c r="B157" s="3" t="s">
        <v>140</v>
      </c>
      <c r="C157" s="3" t="s">
        <v>151</v>
      </c>
      <c r="D157" s="3" t="s">
        <v>147</v>
      </c>
    </row>
    <row r="158" spans="1:4" x14ac:dyDescent="0.25">
      <c r="A158" s="3" t="s">
        <v>87</v>
      </c>
      <c r="B158" s="3" t="s">
        <v>139</v>
      </c>
      <c r="C158" s="3" t="s">
        <v>151</v>
      </c>
      <c r="D158" s="3" t="s">
        <v>147</v>
      </c>
    </row>
    <row r="159" spans="1:4" x14ac:dyDescent="0.25">
      <c r="A159" s="3" t="s">
        <v>88</v>
      </c>
      <c r="B159" s="3" t="s">
        <v>140</v>
      </c>
      <c r="C159" s="3" t="s">
        <v>151</v>
      </c>
      <c r="D159" s="3" t="s">
        <v>147</v>
      </c>
    </row>
    <row r="160" spans="1:4" x14ac:dyDescent="0.25">
      <c r="A160" s="3" t="s">
        <v>89</v>
      </c>
      <c r="B160" s="3" t="s">
        <v>139</v>
      </c>
      <c r="C160" s="3" t="s">
        <v>151</v>
      </c>
      <c r="D160" s="3" t="s">
        <v>147</v>
      </c>
    </row>
    <row r="161" spans="1:4" x14ac:dyDescent="0.25">
      <c r="A161" s="3" t="s">
        <v>90</v>
      </c>
      <c r="B161" s="3" t="s">
        <v>140</v>
      </c>
      <c r="C161" s="3" t="s">
        <v>151</v>
      </c>
      <c r="D161" s="3" t="s">
        <v>147</v>
      </c>
    </row>
    <row r="162" spans="1:4" x14ac:dyDescent="0.25">
      <c r="A162" s="3" t="s">
        <v>91</v>
      </c>
      <c r="B162" s="3" t="s">
        <v>139</v>
      </c>
      <c r="C162" s="3" t="s">
        <v>151</v>
      </c>
      <c r="D162" s="3" t="s">
        <v>147</v>
      </c>
    </row>
    <row r="163" spans="1:4" x14ac:dyDescent="0.25">
      <c r="A163" s="3" t="s">
        <v>92</v>
      </c>
      <c r="B163" s="3" t="s">
        <v>141</v>
      </c>
      <c r="C163" s="3" t="s">
        <v>151</v>
      </c>
      <c r="D163" s="3" t="s">
        <v>148</v>
      </c>
    </row>
    <row r="164" spans="1:4" x14ac:dyDescent="0.25">
      <c r="A164" s="3" t="s">
        <v>93</v>
      </c>
      <c r="B164" s="3" t="s">
        <v>139</v>
      </c>
      <c r="C164" s="3" t="s">
        <v>151</v>
      </c>
      <c r="D164" s="3" t="s">
        <v>147</v>
      </c>
    </row>
    <row r="165" spans="1:4" x14ac:dyDescent="0.25">
      <c r="A165" s="3" t="s">
        <v>94</v>
      </c>
      <c r="B165" s="3" t="s">
        <v>140</v>
      </c>
      <c r="C165" s="3" t="s">
        <v>151</v>
      </c>
      <c r="D165" s="3" t="s">
        <v>147</v>
      </c>
    </row>
    <row r="167" spans="1:4" x14ac:dyDescent="0.25">
      <c r="A167" s="4" t="s">
        <v>3</v>
      </c>
      <c r="B167" s="4" t="s">
        <v>11</v>
      </c>
      <c r="C167" s="4" t="s">
        <v>2</v>
      </c>
      <c r="D167" s="4" t="s">
        <v>47</v>
      </c>
    </row>
    <row r="168" spans="1:4" x14ac:dyDescent="0.25">
      <c r="A168" s="3" t="s">
        <v>106</v>
      </c>
      <c r="B168" s="3" t="s">
        <v>139</v>
      </c>
      <c r="C168" s="3" t="s">
        <v>151</v>
      </c>
      <c r="D168" s="3" t="s">
        <v>147</v>
      </c>
    </row>
    <row r="169" spans="1:4" x14ac:dyDescent="0.25">
      <c r="A169" s="3" t="s">
        <v>99</v>
      </c>
      <c r="B169" s="3" t="s">
        <v>140</v>
      </c>
      <c r="C169" s="3" t="s">
        <v>151</v>
      </c>
      <c r="D169" s="3" t="s">
        <v>147</v>
      </c>
    </row>
    <row r="170" spans="1:4" x14ac:dyDescent="0.25">
      <c r="A170" s="3" t="s">
        <v>100</v>
      </c>
      <c r="B170" s="3" t="s">
        <v>139</v>
      </c>
      <c r="C170" s="3" t="s">
        <v>151</v>
      </c>
      <c r="D170" s="3" t="s">
        <v>147</v>
      </c>
    </row>
    <row r="171" spans="1:4" x14ac:dyDescent="0.25">
      <c r="A171" s="3" t="s">
        <v>101</v>
      </c>
      <c r="B171" s="3" t="s">
        <v>140</v>
      </c>
      <c r="C171" s="3" t="s">
        <v>151</v>
      </c>
      <c r="D171" s="3" t="s">
        <v>147</v>
      </c>
    </row>
    <row r="172" spans="1:4" x14ac:dyDescent="0.25">
      <c r="A172" s="3" t="s">
        <v>102</v>
      </c>
      <c r="B172" s="3" t="s">
        <v>139</v>
      </c>
      <c r="C172" s="3" t="s">
        <v>151</v>
      </c>
      <c r="D172" s="3" t="s">
        <v>147</v>
      </c>
    </row>
    <row r="173" spans="1:4" x14ac:dyDescent="0.25">
      <c r="A173" s="3" t="s">
        <v>103</v>
      </c>
      <c r="B173" s="3" t="s">
        <v>140</v>
      </c>
      <c r="C173" s="3" t="s">
        <v>151</v>
      </c>
      <c r="D173" s="3" t="s">
        <v>147</v>
      </c>
    </row>
    <row r="174" spans="1:4" x14ac:dyDescent="0.25">
      <c r="A174" s="3" t="s">
        <v>104</v>
      </c>
      <c r="B174" s="3" t="s">
        <v>139</v>
      </c>
      <c r="C174" s="3" t="s">
        <v>151</v>
      </c>
      <c r="D174" s="3" t="s">
        <v>147</v>
      </c>
    </row>
    <row r="175" spans="1:4" x14ac:dyDescent="0.25">
      <c r="A175" s="3" t="s">
        <v>105</v>
      </c>
      <c r="B175" s="3" t="s">
        <v>141</v>
      </c>
      <c r="C175" s="3" t="s">
        <v>151</v>
      </c>
      <c r="D175" s="3" t="s">
        <v>148</v>
      </c>
    </row>
    <row r="177" spans="1:4" x14ac:dyDescent="0.25">
      <c r="A177" s="4" t="s">
        <v>3</v>
      </c>
      <c r="B177" s="4" t="s">
        <v>11</v>
      </c>
      <c r="C177" s="4" t="s">
        <v>2</v>
      </c>
      <c r="D177" s="4" t="s">
        <v>47</v>
      </c>
    </row>
    <row r="178" spans="1:4" x14ac:dyDescent="0.25">
      <c r="A178" s="3" t="s">
        <v>75</v>
      </c>
      <c r="B178" s="3" t="s">
        <v>139</v>
      </c>
      <c r="C178" s="3" t="s">
        <v>151</v>
      </c>
      <c r="D178" s="3" t="s">
        <v>147</v>
      </c>
    </row>
    <row r="179" spans="1:4" x14ac:dyDescent="0.25">
      <c r="A179" s="3" t="s">
        <v>78</v>
      </c>
      <c r="B179" s="3" t="s">
        <v>140</v>
      </c>
      <c r="C179" s="3" t="s">
        <v>151</v>
      </c>
      <c r="D179" s="3" t="s">
        <v>147</v>
      </c>
    </row>
    <row r="180" spans="1:4" x14ac:dyDescent="0.25">
      <c r="A180" s="3" t="s">
        <v>58</v>
      </c>
      <c r="B180" s="3" t="s">
        <v>139</v>
      </c>
      <c r="C180" s="3" t="s">
        <v>151</v>
      </c>
      <c r="D180" s="3" t="s">
        <v>147</v>
      </c>
    </row>
    <row r="181" spans="1:4" x14ac:dyDescent="0.25">
      <c r="A181" s="3" t="s">
        <v>59</v>
      </c>
      <c r="B181" s="3" t="s">
        <v>140</v>
      </c>
      <c r="C181" s="3" t="s">
        <v>151</v>
      </c>
      <c r="D181" s="3" t="s">
        <v>147</v>
      </c>
    </row>
    <row r="182" spans="1:4" x14ac:dyDescent="0.25">
      <c r="A182" s="3" t="s">
        <v>60</v>
      </c>
      <c r="B182" s="3" t="s">
        <v>139</v>
      </c>
      <c r="C182" s="3" t="s">
        <v>151</v>
      </c>
      <c r="D182" s="3" t="s">
        <v>147</v>
      </c>
    </row>
    <row r="183" spans="1:4" x14ac:dyDescent="0.25">
      <c r="A183" s="3" t="s">
        <v>61</v>
      </c>
      <c r="B183" s="3" t="s">
        <v>140</v>
      </c>
      <c r="C183" s="3" t="s">
        <v>151</v>
      </c>
      <c r="D183" s="3" t="s">
        <v>147</v>
      </c>
    </row>
    <row r="184" spans="1:4" x14ac:dyDescent="0.25">
      <c r="A184" s="3" t="s">
        <v>62</v>
      </c>
      <c r="B184" s="3" t="s">
        <v>139</v>
      </c>
      <c r="C184" s="3" t="s">
        <v>151</v>
      </c>
      <c r="D184" s="3" t="s">
        <v>147</v>
      </c>
    </row>
    <row r="185" spans="1:4" x14ac:dyDescent="0.25">
      <c r="A185" s="3" t="s">
        <v>63</v>
      </c>
      <c r="B185" s="3" t="s">
        <v>141</v>
      </c>
      <c r="C185" s="3" t="s">
        <v>151</v>
      </c>
      <c r="D185" s="3" t="s">
        <v>148</v>
      </c>
    </row>
    <row r="186" spans="1:4" x14ac:dyDescent="0.25">
      <c r="A186" s="3" t="s">
        <v>64</v>
      </c>
      <c r="B186" s="3" t="s">
        <v>139</v>
      </c>
      <c r="C186" s="3" t="s">
        <v>151</v>
      </c>
      <c r="D186" s="3" t="s">
        <v>147</v>
      </c>
    </row>
    <row r="187" spans="1:4" x14ac:dyDescent="0.25">
      <c r="A187" s="3" t="s">
        <v>65</v>
      </c>
      <c r="B187" s="3" t="s">
        <v>140</v>
      </c>
      <c r="C187" s="3" t="s">
        <v>151</v>
      </c>
      <c r="D187" s="3" t="s">
        <v>147</v>
      </c>
    </row>
    <row r="189" spans="1:4" x14ac:dyDescent="0.25">
      <c r="A189" s="4" t="s">
        <v>3</v>
      </c>
      <c r="B189" s="4" t="s">
        <v>11</v>
      </c>
      <c r="C189" s="4" t="s">
        <v>2</v>
      </c>
      <c r="D189" s="4" t="s">
        <v>47</v>
      </c>
    </row>
    <row r="190" spans="1:4" x14ac:dyDescent="0.25">
      <c r="A190" s="3" t="s">
        <v>76</v>
      </c>
      <c r="B190" s="3" t="s">
        <v>139</v>
      </c>
      <c r="C190" s="3" t="s">
        <v>151</v>
      </c>
      <c r="D190" s="3" t="s">
        <v>147</v>
      </c>
    </row>
    <row r="191" spans="1:4" x14ac:dyDescent="0.25">
      <c r="A191" s="3" t="s">
        <v>79</v>
      </c>
      <c r="B191" s="3" t="s">
        <v>141</v>
      </c>
      <c r="C191" s="3" t="s">
        <v>151</v>
      </c>
      <c r="D191" s="3" t="s">
        <v>148</v>
      </c>
    </row>
    <row r="192" spans="1:4" x14ac:dyDescent="0.25">
      <c r="A192" s="3" t="s">
        <v>77</v>
      </c>
      <c r="B192" s="3" t="s">
        <v>139</v>
      </c>
      <c r="C192" s="3" t="s">
        <v>151</v>
      </c>
      <c r="D192" s="3" t="s">
        <v>147</v>
      </c>
    </row>
    <row r="193" spans="1:4" x14ac:dyDescent="0.25">
      <c r="A193" s="3" t="s">
        <v>51</v>
      </c>
      <c r="B193" s="3" t="s">
        <v>141</v>
      </c>
      <c r="C193" s="3" t="s">
        <v>151</v>
      </c>
      <c r="D193" s="3" t="s">
        <v>148</v>
      </c>
    </row>
    <row r="194" spans="1:4" x14ac:dyDescent="0.25">
      <c r="A194" s="3" t="s">
        <v>52</v>
      </c>
      <c r="B194" s="3" t="s">
        <v>139</v>
      </c>
      <c r="C194" s="3" t="s">
        <v>151</v>
      </c>
      <c r="D194" s="3" t="s">
        <v>147</v>
      </c>
    </row>
    <row r="195" spans="1:4" x14ac:dyDescent="0.25">
      <c r="A195" s="3" t="s">
        <v>53</v>
      </c>
      <c r="B195" s="3" t="s">
        <v>141</v>
      </c>
      <c r="C195" s="3" t="s">
        <v>151</v>
      </c>
      <c r="D195" s="3" t="s">
        <v>148</v>
      </c>
    </row>
    <row r="196" spans="1:4" x14ac:dyDescent="0.25">
      <c r="A196" s="3" t="s">
        <v>54</v>
      </c>
      <c r="B196" s="3" t="s">
        <v>139</v>
      </c>
      <c r="C196" s="3" t="s">
        <v>151</v>
      </c>
      <c r="D196" s="3" t="s">
        <v>147</v>
      </c>
    </row>
    <row r="197" spans="1:4" x14ac:dyDescent="0.25">
      <c r="A197" s="3" t="s">
        <v>55</v>
      </c>
      <c r="B197" s="3" t="s">
        <v>141</v>
      </c>
      <c r="C197" s="3" t="s">
        <v>151</v>
      </c>
      <c r="D197" s="3" t="s">
        <v>148</v>
      </c>
    </row>
    <row r="198" spans="1:4" x14ac:dyDescent="0.25">
      <c r="A198" s="3" t="s">
        <v>107</v>
      </c>
      <c r="B198" s="3" t="s">
        <v>142</v>
      </c>
      <c r="C198" s="3" t="s">
        <v>151</v>
      </c>
      <c r="D198" s="3" t="s">
        <v>148</v>
      </c>
    </row>
    <row r="200" spans="1:4" x14ac:dyDescent="0.25">
      <c r="A200" s="4" t="s">
        <v>3</v>
      </c>
      <c r="B200" s="4" t="s">
        <v>11</v>
      </c>
      <c r="C200" s="4" t="s">
        <v>2</v>
      </c>
    </row>
    <row r="201" spans="1:4" x14ac:dyDescent="0.25">
      <c r="A201" s="3" t="s">
        <v>50</v>
      </c>
      <c r="B201" s="3" t="s">
        <v>139</v>
      </c>
      <c r="C201" s="3" t="s">
        <v>151</v>
      </c>
    </row>
    <row r="203" spans="1:4" x14ac:dyDescent="0.25">
      <c r="A203" s="4" t="s">
        <v>3</v>
      </c>
      <c r="B203" s="4" t="s">
        <v>11</v>
      </c>
      <c r="C203" s="4" t="s">
        <v>2</v>
      </c>
      <c r="D203" s="4" t="s">
        <v>47</v>
      </c>
    </row>
    <row r="204" spans="1:4" x14ac:dyDescent="0.25">
      <c r="A204" s="3" t="s">
        <v>119</v>
      </c>
      <c r="B204" s="3" t="s">
        <v>139</v>
      </c>
      <c r="C204" s="3" t="s">
        <v>151</v>
      </c>
      <c r="D204" s="3" t="s">
        <v>147</v>
      </c>
    </row>
    <row r="205" spans="1:4" x14ac:dyDescent="0.25">
      <c r="A205" s="3" t="s">
        <v>114</v>
      </c>
      <c r="B205" s="3" t="s">
        <v>140</v>
      </c>
      <c r="C205" s="3" t="s">
        <v>151</v>
      </c>
      <c r="D205" s="3" t="s">
        <v>147</v>
      </c>
    </row>
    <row r="206" spans="1:4" x14ac:dyDescent="0.25">
      <c r="A206" s="3" t="s">
        <v>115</v>
      </c>
      <c r="B206" s="3" t="s">
        <v>139</v>
      </c>
      <c r="C206" s="3" t="s">
        <v>151</v>
      </c>
      <c r="D206" s="3" t="s">
        <v>147</v>
      </c>
    </row>
    <row r="207" spans="1:4" x14ac:dyDescent="0.25">
      <c r="A207" s="3" t="s">
        <v>116</v>
      </c>
      <c r="B207" s="3" t="s">
        <v>140</v>
      </c>
      <c r="C207" s="3" t="s">
        <v>151</v>
      </c>
      <c r="D207" s="3" t="s">
        <v>147</v>
      </c>
    </row>
    <row r="208" spans="1:4" x14ac:dyDescent="0.25">
      <c r="A208" s="3" t="s">
        <v>117</v>
      </c>
      <c r="B208" s="3" t="s">
        <v>139</v>
      </c>
      <c r="C208" s="3" t="s">
        <v>151</v>
      </c>
      <c r="D208" s="3" t="s">
        <v>147</v>
      </c>
    </row>
    <row r="209" spans="1:10" x14ac:dyDescent="0.25">
      <c r="A209" s="3" t="s">
        <v>118</v>
      </c>
      <c r="B209" s="3" t="s">
        <v>140</v>
      </c>
      <c r="C209" s="3" t="s">
        <v>151</v>
      </c>
      <c r="D209" s="3" t="s">
        <v>147</v>
      </c>
    </row>
    <row r="210" spans="1:10" x14ac:dyDescent="0.25">
      <c r="A210" s="10"/>
      <c r="B210" s="10"/>
      <c r="C210" s="10"/>
      <c r="E210" s="3">
        <v>273</v>
      </c>
      <c r="F210" s="10"/>
      <c r="G210" s="10"/>
      <c r="H210" s="10"/>
      <c r="I210" s="10"/>
      <c r="J210" s="10"/>
    </row>
    <row r="211" spans="1:10" x14ac:dyDescent="0.25">
      <c r="A211" s="4" t="s">
        <v>3</v>
      </c>
      <c r="B211" s="4" t="s">
        <v>241</v>
      </c>
      <c r="C211" s="4" t="s">
        <v>242</v>
      </c>
      <c r="D211" s="4" t="s">
        <v>123</v>
      </c>
      <c r="E211" s="4" t="s">
        <v>124</v>
      </c>
      <c r="F211" s="4" t="s">
        <v>125</v>
      </c>
      <c r="G211" s="4" t="s">
        <v>14</v>
      </c>
      <c r="H211" s="4" t="s">
        <v>15</v>
      </c>
      <c r="I211" s="10"/>
      <c r="J211" s="10"/>
    </row>
    <row r="212" spans="1:10" x14ac:dyDescent="0.25">
      <c r="A212" s="3" t="s">
        <v>157</v>
      </c>
      <c r="B212" s="3" t="s">
        <v>244</v>
      </c>
      <c r="C212" s="3" t="s">
        <v>243</v>
      </c>
      <c r="D212" s="3" t="s">
        <v>126</v>
      </c>
      <c r="E212" s="11" t="s">
        <v>148</v>
      </c>
      <c r="F212" s="3" t="s">
        <v>147</v>
      </c>
      <c r="G212" s="12">
        <v>42037</v>
      </c>
      <c r="H212" s="11" t="s">
        <v>17</v>
      </c>
      <c r="I212" s="10"/>
      <c r="J212" s="10"/>
    </row>
    <row r="213" spans="1:10" x14ac:dyDescent="0.25">
      <c r="A213" s="4" t="s">
        <v>3</v>
      </c>
      <c r="B213" s="4" t="s">
        <v>284</v>
      </c>
      <c r="C213" s="4" t="s">
        <v>285</v>
      </c>
      <c r="E213" s="4"/>
      <c r="F213" s="4"/>
      <c r="G213" s="4"/>
      <c r="H213" s="4"/>
      <c r="I213" s="10"/>
      <c r="J213" s="10"/>
    </row>
    <row r="214" spans="1:10" x14ac:dyDescent="0.25">
      <c r="A214" s="3" t="s">
        <v>157</v>
      </c>
      <c r="B214" s="3" t="s">
        <v>283</v>
      </c>
      <c r="C214" s="3" t="s">
        <v>282</v>
      </c>
      <c r="E214" s="11"/>
      <c r="G214" s="12"/>
      <c r="H214" s="11"/>
      <c r="I214" s="10"/>
      <c r="J214" s="10"/>
    </row>
    <row r="215" spans="1:10" x14ac:dyDescent="0.25">
      <c r="F215" s="10"/>
      <c r="G215" s="10"/>
      <c r="H215" s="10"/>
      <c r="I215" s="10"/>
      <c r="J215" s="10"/>
    </row>
    <row r="216" spans="1:10" x14ac:dyDescent="0.25">
      <c r="A216" s="4" t="s">
        <v>3</v>
      </c>
      <c r="B216" s="4" t="s">
        <v>287</v>
      </c>
      <c r="D216" s="10"/>
      <c r="E216" s="10"/>
      <c r="F216" s="10"/>
      <c r="G216" s="10"/>
      <c r="H216" s="10"/>
    </row>
    <row r="217" spans="1:10" x14ac:dyDescent="0.25">
      <c r="A217" s="3" t="s">
        <v>286</v>
      </c>
      <c r="B217" s="3" t="b">
        <v>1</v>
      </c>
      <c r="D217" s="10"/>
      <c r="E217" s="10"/>
      <c r="F217" s="10"/>
      <c r="G217" s="10"/>
      <c r="H217" s="10"/>
    </row>
    <row r="218" spans="1:10" x14ac:dyDescent="0.25">
      <c r="A218" s="3" t="s">
        <v>288</v>
      </c>
      <c r="B218" s="3" t="b">
        <v>1</v>
      </c>
      <c r="D218" s="10"/>
      <c r="E218" s="10"/>
      <c r="F218" s="10"/>
      <c r="G218" s="10"/>
      <c r="H218" s="10"/>
    </row>
    <row r="219" spans="1:10" x14ac:dyDescent="0.25">
      <c r="A219" s="3" t="s">
        <v>289</v>
      </c>
      <c r="B219" s="3" t="b">
        <v>1</v>
      </c>
      <c r="D219" s="10"/>
      <c r="E219" s="10"/>
      <c r="F219" s="10"/>
      <c r="G219" s="10"/>
      <c r="H219" s="10"/>
    </row>
    <row r="220" spans="1:10" x14ac:dyDescent="0.25">
      <c r="A220" s="3" t="s">
        <v>290</v>
      </c>
      <c r="B220" s="3" t="b">
        <v>1</v>
      </c>
      <c r="D220" s="10"/>
      <c r="E220" s="10"/>
      <c r="F220" s="10"/>
      <c r="G220" s="10"/>
      <c r="H220" s="10"/>
    </row>
    <row r="221" spans="1:10" x14ac:dyDescent="0.25">
      <c r="A221" s="3" t="s">
        <v>291</v>
      </c>
      <c r="B221" s="3" t="b">
        <v>1</v>
      </c>
      <c r="D221" s="10"/>
      <c r="E221" s="10"/>
      <c r="F221" s="10"/>
      <c r="G221" s="10"/>
      <c r="H221" s="10"/>
    </row>
    <row r="222" spans="1:10" x14ac:dyDescent="0.25">
      <c r="A222" s="3" t="s">
        <v>292</v>
      </c>
      <c r="B222" s="3" t="b">
        <v>1</v>
      </c>
      <c r="D222" s="10"/>
      <c r="E222" s="10"/>
      <c r="F222" s="10"/>
      <c r="G222" s="10"/>
      <c r="H222" s="10"/>
    </row>
    <row r="223" spans="1:10" x14ac:dyDescent="0.25">
      <c r="A223" s="3" t="s">
        <v>293</v>
      </c>
      <c r="B223" s="3" t="b">
        <v>1</v>
      </c>
      <c r="D223" s="10"/>
      <c r="E223" s="10"/>
      <c r="F223" s="10"/>
      <c r="G223" s="10"/>
      <c r="H223" s="10"/>
    </row>
    <row r="224" spans="1:10" x14ac:dyDescent="0.25">
      <c r="A224" s="3" t="s">
        <v>294</v>
      </c>
      <c r="B224" s="3" t="b">
        <v>1</v>
      </c>
      <c r="D224" s="10"/>
      <c r="E224" s="10"/>
      <c r="F224" s="10"/>
      <c r="G224" s="10"/>
      <c r="H224" s="10"/>
    </row>
    <row r="225" spans="1:10" x14ac:dyDescent="0.25">
      <c r="A225" s="3" t="s">
        <v>295</v>
      </c>
      <c r="B225" s="3" t="b">
        <v>1</v>
      </c>
      <c r="D225" s="10"/>
      <c r="E225" s="10"/>
      <c r="F225" s="10"/>
      <c r="G225" s="10"/>
      <c r="H225" s="10"/>
    </row>
    <row r="226" spans="1:10" x14ac:dyDescent="0.25">
      <c r="F226" s="10"/>
      <c r="G226" s="10"/>
      <c r="H226" s="10"/>
      <c r="I226" s="10"/>
      <c r="J226" s="10"/>
    </row>
    <row r="227" spans="1:10" x14ac:dyDescent="0.25">
      <c r="A227" s="4" t="s">
        <v>3</v>
      </c>
      <c r="B227" s="4" t="s">
        <v>46</v>
      </c>
      <c r="D227" s="10"/>
      <c r="E227" s="10"/>
      <c r="F227" s="10"/>
      <c r="G227" s="10"/>
      <c r="H227" s="10"/>
    </row>
    <row r="228" spans="1:10" x14ac:dyDescent="0.25">
      <c r="A228" s="3" t="s">
        <v>237</v>
      </c>
      <c r="B228" s="3" t="s">
        <v>238</v>
      </c>
      <c r="D228" s="10"/>
      <c r="E228" s="10"/>
      <c r="F228" s="10"/>
      <c r="G228" s="10"/>
      <c r="H228" s="10"/>
    </row>
    <row r="229" spans="1:10" x14ac:dyDescent="0.25">
      <c r="A229" s="3" t="s">
        <v>250</v>
      </c>
      <c r="B229" s="3" t="s">
        <v>238</v>
      </c>
      <c r="D229" s="10"/>
      <c r="E229" s="10"/>
      <c r="F229" s="10"/>
      <c r="G229" s="10"/>
      <c r="H229" s="10"/>
    </row>
    <row r="230" spans="1:10" x14ac:dyDescent="0.25">
      <c r="A230" s="3" t="s">
        <v>253</v>
      </c>
      <c r="B230" s="3" t="s">
        <v>238</v>
      </c>
      <c r="D230" s="10"/>
      <c r="E230" s="10"/>
      <c r="F230" s="10"/>
      <c r="G230" s="10"/>
      <c r="H230" s="10"/>
    </row>
    <row r="231" spans="1:10" x14ac:dyDescent="0.25">
      <c r="A231" s="3" t="s">
        <v>259</v>
      </c>
      <c r="B231" s="3" t="s">
        <v>238</v>
      </c>
      <c r="D231" s="10"/>
      <c r="E231" s="10"/>
      <c r="F231" s="10"/>
      <c r="G231" s="10"/>
      <c r="H231" s="10"/>
    </row>
    <row r="232" spans="1:10" x14ac:dyDescent="0.25">
      <c r="A232" s="3" t="s">
        <v>260</v>
      </c>
      <c r="B232" s="3" t="s">
        <v>263</v>
      </c>
      <c r="D232" s="10"/>
      <c r="E232" s="10"/>
      <c r="F232" s="10"/>
      <c r="G232" s="10"/>
      <c r="H232" s="10"/>
    </row>
    <row r="233" spans="1:10" x14ac:dyDescent="0.25">
      <c r="A233" s="3" t="s">
        <v>264</v>
      </c>
      <c r="B233" s="3" t="s">
        <v>263</v>
      </c>
      <c r="D233" s="10"/>
      <c r="E233" s="10"/>
      <c r="F233" s="10"/>
      <c r="G233" s="10"/>
      <c r="H233" s="10"/>
    </row>
    <row r="234" spans="1:10" x14ac:dyDescent="0.25">
      <c r="A234" s="3" t="s">
        <v>269</v>
      </c>
      <c r="B234" s="3" t="s">
        <v>263</v>
      </c>
      <c r="D234" s="10"/>
      <c r="E234" s="10"/>
      <c r="F234" s="10"/>
      <c r="G234" s="10"/>
      <c r="H234" s="10"/>
    </row>
    <row r="235" spans="1:10" x14ac:dyDescent="0.25">
      <c r="A235" s="3" t="s">
        <v>276</v>
      </c>
      <c r="B235" s="3" t="s">
        <v>279</v>
      </c>
      <c r="D235" s="10"/>
      <c r="E235" s="10"/>
      <c r="F235" s="10"/>
      <c r="G235" s="10"/>
      <c r="H235" s="10"/>
    </row>
    <row r="236" spans="1:10" x14ac:dyDescent="0.25">
      <c r="A236" s="3" t="s">
        <v>277</v>
      </c>
      <c r="B236" s="3" t="s">
        <v>279</v>
      </c>
      <c r="D236" s="10"/>
      <c r="E236" s="10"/>
      <c r="F236" s="10"/>
      <c r="G236" s="10"/>
      <c r="H236" s="10"/>
    </row>
    <row r="237" spans="1:10" x14ac:dyDescent="0.25">
      <c r="A237" s="3" t="s">
        <v>278</v>
      </c>
      <c r="B237" s="3" t="s">
        <v>279</v>
      </c>
      <c r="D237" s="10"/>
      <c r="E237" s="10"/>
      <c r="F237" s="10"/>
      <c r="G237" s="10"/>
      <c r="H237" s="10"/>
    </row>
    <row r="238" spans="1:10" x14ac:dyDescent="0.25">
      <c r="A238" s="3" t="s">
        <v>280</v>
      </c>
      <c r="B238" s="3" t="s">
        <v>281</v>
      </c>
      <c r="D238" s="10"/>
      <c r="E238" s="10"/>
      <c r="F238" s="10"/>
      <c r="G238" s="10"/>
      <c r="H238" s="10"/>
    </row>
    <row r="239" spans="1:10" x14ac:dyDescent="0.25">
      <c r="A239" s="4" t="s">
        <v>3</v>
      </c>
      <c r="B239" s="4" t="s">
        <v>45</v>
      </c>
      <c r="C239" s="4"/>
      <c r="D239" s="4"/>
      <c r="F239" s="10"/>
      <c r="G239" s="10"/>
      <c r="H239" s="10"/>
      <c r="I239" s="10"/>
      <c r="J239" s="10"/>
    </row>
    <row r="240" spans="1:10" x14ac:dyDescent="0.25">
      <c r="A240" s="3" t="s">
        <v>239</v>
      </c>
      <c r="B240" s="3">
        <v>5000</v>
      </c>
      <c r="F240" s="10"/>
      <c r="G240" s="10"/>
      <c r="H240" s="10"/>
      <c r="I240" s="10"/>
      <c r="J240" s="10"/>
    </row>
    <row r="241" spans="1:10" x14ac:dyDescent="0.25">
      <c r="A241" s="3" t="s">
        <v>240</v>
      </c>
      <c r="B241" s="3">
        <v>12000</v>
      </c>
      <c r="F241" s="10"/>
      <c r="G241" s="10"/>
      <c r="H241" s="10"/>
      <c r="I241" s="10"/>
      <c r="J241" s="10"/>
    </row>
    <row r="242" spans="1:10" x14ac:dyDescent="0.25">
      <c r="A242" s="3" t="s">
        <v>251</v>
      </c>
      <c r="B242" s="3">
        <v>5000</v>
      </c>
      <c r="F242" s="10"/>
      <c r="G242" s="10"/>
      <c r="H242" s="10"/>
      <c r="I242" s="10"/>
      <c r="J242" s="10"/>
    </row>
    <row r="243" spans="1:10" x14ac:dyDescent="0.25">
      <c r="A243" s="3" t="s">
        <v>252</v>
      </c>
      <c r="B243" s="3">
        <v>12000</v>
      </c>
      <c r="F243" s="10"/>
      <c r="G243" s="10"/>
      <c r="H243" s="10"/>
      <c r="I243" s="10"/>
      <c r="J243" s="10"/>
    </row>
    <row r="244" spans="1:10" x14ac:dyDescent="0.25">
      <c r="A244" s="3" t="s">
        <v>254</v>
      </c>
      <c r="B244" s="3">
        <v>5000</v>
      </c>
      <c r="F244" s="10"/>
      <c r="G244" s="10"/>
      <c r="H244" s="10"/>
      <c r="I244" s="10"/>
      <c r="J244" s="10"/>
    </row>
    <row r="245" spans="1:10" x14ac:dyDescent="0.25">
      <c r="A245" s="3" t="s">
        <v>255</v>
      </c>
      <c r="B245" s="3">
        <v>12000</v>
      </c>
      <c r="F245" s="10"/>
      <c r="G245" s="10"/>
      <c r="H245" s="10"/>
      <c r="I245" s="10"/>
      <c r="J245" s="10"/>
    </row>
    <row r="246" spans="1:10" x14ac:dyDescent="0.25">
      <c r="A246" s="3" t="s">
        <v>257</v>
      </c>
      <c r="B246" s="3">
        <v>5000</v>
      </c>
      <c r="F246" s="10"/>
      <c r="G246" s="10"/>
      <c r="H246" s="10"/>
      <c r="I246" s="10"/>
      <c r="J246" s="10"/>
    </row>
    <row r="247" spans="1:10" x14ac:dyDescent="0.25">
      <c r="A247" s="3" t="s">
        <v>258</v>
      </c>
      <c r="B247" s="3">
        <v>12000</v>
      </c>
      <c r="F247" s="10"/>
      <c r="G247" s="10"/>
      <c r="H247" s="10"/>
      <c r="I247" s="10"/>
      <c r="J247" s="10"/>
    </row>
    <row r="248" spans="1:10" x14ac:dyDescent="0.25">
      <c r="A248" s="3" t="s">
        <v>261</v>
      </c>
      <c r="B248" s="3">
        <v>5000</v>
      </c>
      <c r="F248" s="10"/>
      <c r="G248" s="10"/>
      <c r="H248" s="10"/>
      <c r="I248" s="10"/>
      <c r="J248" s="10"/>
    </row>
    <row r="249" spans="1:10" x14ac:dyDescent="0.25">
      <c r="A249" s="3" t="s">
        <v>262</v>
      </c>
      <c r="B249" s="3">
        <v>12000</v>
      </c>
      <c r="F249" s="10"/>
      <c r="G249" s="10"/>
      <c r="H249" s="10"/>
      <c r="I249" s="10"/>
      <c r="J249" s="10"/>
    </row>
    <row r="250" spans="1:10" x14ac:dyDescent="0.25">
      <c r="A250" s="3" t="s">
        <v>265</v>
      </c>
      <c r="B250" s="3">
        <v>5000</v>
      </c>
      <c r="F250" s="10"/>
      <c r="G250" s="10"/>
      <c r="H250" s="10"/>
      <c r="I250" s="10"/>
      <c r="J250" s="10"/>
    </row>
    <row r="251" spans="1:10" x14ac:dyDescent="0.25">
      <c r="A251" s="3" t="s">
        <v>266</v>
      </c>
      <c r="B251" s="3">
        <v>12000</v>
      </c>
      <c r="F251" s="10"/>
      <c r="G251" s="10"/>
      <c r="H251" s="10"/>
      <c r="I251" s="10"/>
      <c r="J251" s="10"/>
    </row>
    <row r="252" spans="1:10" x14ac:dyDescent="0.25">
      <c r="A252" s="3" t="s">
        <v>267</v>
      </c>
      <c r="B252" s="3">
        <v>5000</v>
      </c>
      <c r="F252" s="10"/>
      <c r="G252" s="10"/>
      <c r="H252" s="10"/>
      <c r="I252" s="10"/>
      <c r="J252" s="10"/>
    </row>
    <row r="253" spans="1:10" x14ac:dyDescent="0.25">
      <c r="A253" s="3" t="s">
        <v>268</v>
      </c>
      <c r="B253" s="3">
        <v>12000</v>
      </c>
      <c r="F253" s="10"/>
      <c r="G253" s="10"/>
      <c r="H253" s="10"/>
      <c r="I253" s="10"/>
      <c r="J253" s="10"/>
    </row>
    <row r="254" spans="1:10" x14ac:dyDescent="0.25">
      <c r="A254" s="3" t="s">
        <v>270</v>
      </c>
      <c r="B254" s="3">
        <v>5000</v>
      </c>
      <c r="F254" s="10"/>
      <c r="G254" s="10"/>
      <c r="H254" s="10"/>
      <c r="I254" s="10"/>
      <c r="J254" s="10"/>
    </row>
    <row r="255" spans="1:10" x14ac:dyDescent="0.25">
      <c r="A255" s="3" t="s">
        <v>271</v>
      </c>
      <c r="B255" s="3">
        <v>12000</v>
      </c>
      <c r="F255" s="10"/>
      <c r="G255" s="10"/>
      <c r="H255" s="10"/>
      <c r="I255" s="10"/>
      <c r="J255" s="10"/>
    </row>
    <row r="256" spans="1:10" x14ac:dyDescent="0.25">
      <c r="A256" s="3" t="s">
        <v>272</v>
      </c>
      <c r="B256" s="3">
        <v>5000</v>
      </c>
      <c r="F256" s="10"/>
      <c r="G256" s="10"/>
      <c r="H256" s="10"/>
      <c r="I256" s="10"/>
      <c r="J256" s="10"/>
    </row>
    <row r="257" spans="1:11" x14ac:dyDescent="0.25">
      <c r="A257" s="3" t="s">
        <v>273</v>
      </c>
      <c r="B257" s="3">
        <v>12000</v>
      </c>
      <c r="F257" s="10"/>
      <c r="G257" s="10"/>
      <c r="H257" s="10"/>
      <c r="I257" s="10"/>
      <c r="J257" s="10"/>
    </row>
    <row r="258" spans="1:11" x14ac:dyDescent="0.25">
      <c r="A258" s="3" t="s">
        <v>274</v>
      </c>
      <c r="B258" s="3">
        <v>5000</v>
      </c>
      <c r="F258" s="10"/>
      <c r="G258" s="10"/>
      <c r="H258" s="10"/>
      <c r="I258" s="10"/>
      <c r="J258" s="10"/>
    </row>
    <row r="259" spans="1:11" x14ac:dyDescent="0.25">
      <c r="A259" s="3" t="s">
        <v>275</v>
      </c>
      <c r="B259" s="3">
        <v>12000</v>
      </c>
      <c r="F259" s="10"/>
      <c r="G259" s="10"/>
      <c r="H259" s="10"/>
      <c r="I259" s="10"/>
      <c r="J259" s="10"/>
    </row>
    <row r="260" spans="1:11" x14ac:dyDescent="0.25">
      <c r="F260" s="10"/>
      <c r="G260" s="10"/>
      <c r="H260" s="10"/>
      <c r="I260" s="10"/>
      <c r="J260" s="10"/>
    </row>
    <row r="261" spans="1:11" x14ac:dyDescent="0.25">
      <c r="A261" s="4" t="s">
        <v>3</v>
      </c>
      <c r="B261" s="3" t="s">
        <v>122</v>
      </c>
      <c r="C261" s="3" t="s">
        <v>123</v>
      </c>
      <c r="D261" s="3" t="s">
        <v>13</v>
      </c>
      <c r="E261" s="11" t="s">
        <v>5</v>
      </c>
      <c r="F261" s="11" t="s">
        <v>14</v>
      </c>
      <c r="G261" s="11" t="s">
        <v>15</v>
      </c>
      <c r="H261" s="11" t="s">
        <v>124</v>
      </c>
      <c r="I261" s="11" t="s">
        <v>125</v>
      </c>
      <c r="J261" s="11" t="s">
        <v>16</v>
      </c>
      <c r="K261" s="3" t="s">
        <v>10</v>
      </c>
    </row>
    <row r="262" spans="1:11" x14ac:dyDescent="0.25">
      <c r="A262" s="3" t="s">
        <v>121</v>
      </c>
      <c r="B262" s="10" t="s">
        <v>152</v>
      </c>
      <c r="C262" s="3" t="s">
        <v>126</v>
      </c>
      <c r="D262" s="3" t="s">
        <v>154</v>
      </c>
      <c r="E262" s="3" t="s">
        <v>155</v>
      </c>
      <c r="F262" s="12">
        <v>42037</v>
      </c>
      <c r="G262" s="11" t="s">
        <v>17</v>
      </c>
      <c r="H262" s="11" t="s">
        <v>148</v>
      </c>
      <c r="I262" s="3" t="s">
        <v>147</v>
      </c>
      <c r="J262" s="3" t="s">
        <v>149</v>
      </c>
      <c r="K262" s="3" t="s">
        <v>156</v>
      </c>
    </row>
    <row r="263" spans="1:11" x14ac:dyDescent="0.25">
      <c r="A263" s="10"/>
      <c r="B263" s="10"/>
      <c r="C263" s="10"/>
      <c r="E263" s="10"/>
      <c r="F263" s="10"/>
      <c r="G263" s="10"/>
      <c r="H263" s="10"/>
      <c r="I263" s="10"/>
      <c r="J263" s="10"/>
    </row>
    <row r="264" spans="1:11" x14ac:dyDescent="0.25">
      <c r="A264" s="4" t="s">
        <v>3</v>
      </c>
      <c r="B264" s="3" t="s">
        <v>122</v>
      </c>
      <c r="C264" s="3" t="s">
        <v>123</v>
      </c>
      <c r="D264" s="3" t="s">
        <v>13</v>
      </c>
      <c r="E264" s="11" t="s">
        <v>5</v>
      </c>
      <c r="F264" s="11" t="s">
        <v>14</v>
      </c>
      <c r="G264" s="11" t="s">
        <v>15</v>
      </c>
      <c r="H264" s="11" t="s">
        <v>124</v>
      </c>
      <c r="I264" s="11" t="s">
        <v>125</v>
      </c>
      <c r="J264" s="11" t="s">
        <v>16</v>
      </c>
    </row>
    <row r="265" spans="1:11" x14ac:dyDescent="0.25">
      <c r="A265" s="3" t="s">
        <v>135</v>
      </c>
      <c r="B265" s="10" t="s">
        <v>152</v>
      </c>
      <c r="C265" s="3" t="s">
        <v>126</v>
      </c>
      <c r="D265" s="3">
        <v>20000</v>
      </c>
      <c r="E265" s="3">
        <f>E210+1</f>
        <v>274</v>
      </c>
      <c r="F265" s="12">
        <v>42037</v>
      </c>
      <c r="G265" s="11" t="s">
        <v>17</v>
      </c>
      <c r="H265" s="11" t="s">
        <v>148</v>
      </c>
      <c r="I265" s="3" t="s">
        <v>147</v>
      </c>
      <c r="J265" s="3" t="s">
        <v>149</v>
      </c>
    </row>
    <row r="266" spans="1:11" x14ac:dyDescent="0.25">
      <c r="A266" s="10"/>
      <c r="B266" s="10"/>
      <c r="C266" s="10"/>
      <c r="E266" s="10"/>
      <c r="F266" s="10"/>
      <c r="G266" s="10"/>
      <c r="H266" s="10"/>
      <c r="I266" s="10"/>
      <c r="J266" s="10"/>
    </row>
    <row r="267" spans="1:11" x14ac:dyDescent="0.25">
      <c r="A267" s="4" t="s">
        <v>3</v>
      </c>
      <c r="B267" s="3" t="s">
        <v>122</v>
      </c>
      <c r="C267" s="3" t="s">
        <v>123</v>
      </c>
      <c r="D267" s="3" t="s">
        <v>13</v>
      </c>
      <c r="E267" s="11" t="s">
        <v>5</v>
      </c>
      <c r="F267" s="11" t="s">
        <v>14</v>
      </c>
      <c r="G267" s="11" t="s">
        <v>15</v>
      </c>
      <c r="H267" s="11" t="s">
        <v>124</v>
      </c>
      <c r="I267" s="11" t="s">
        <v>125</v>
      </c>
      <c r="J267" s="11" t="s">
        <v>16</v>
      </c>
    </row>
    <row r="268" spans="1:11" x14ac:dyDescent="0.25">
      <c r="A268" s="3" t="s">
        <v>127</v>
      </c>
      <c r="B268" s="10" t="s">
        <v>152</v>
      </c>
      <c r="C268" s="3" t="s">
        <v>126</v>
      </c>
      <c r="D268" s="3">
        <v>20000</v>
      </c>
      <c r="E268" s="3">
        <f>E210+2</f>
        <v>275</v>
      </c>
      <c r="F268" s="12">
        <v>42037</v>
      </c>
      <c r="G268" s="11" t="s">
        <v>17</v>
      </c>
      <c r="H268" s="11" t="s">
        <v>148</v>
      </c>
      <c r="I268" s="3" t="s">
        <v>147</v>
      </c>
      <c r="J268" s="3" t="s">
        <v>149</v>
      </c>
    </row>
    <row r="269" spans="1:11" x14ac:dyDescent="0.25">
      <c r="A269" s="10"/>
      <c r="B269" s="10"/>
      <c r="C269" s="10"/>
      <c r="E269" s="10"/>
      <c r="F269" s="10"/>
      <c r="G269" s="10"/>
      <c r="H269" s="10"/>
      <c r="I269" s="10"/>
      <c r="J269" s="10"/>
    </row>
    <row r="270" spans="1:11" x14ac:dyDescent="0.25">
      <c r="A270" s="4" t="s">
        <v>3</v>
      </c>
      <c r="B270" s="3" t="s">
        <v>122</v>
      </c>
      <c r="C270" s="3" t="s">
        <v>123</v>
      </c>
      <c r="D270" s="3" t="s">
        <v>13</v>
      </c>
      <c r="E270" s="11" t="s">
        <v>5</v>
      </c>
      <c r="F270" s="11" t="s">
        <v>14</v>
      </c>
      <c r="G270" s="11" t="s">
        <v>15</v>
      </c>
      <c r="H270" s="11" t="s">
        <v>124</v>
      </c>
      <c r="I270" s="11" t="s">
        <v>125</v>
      </c>
      <c r="J270" s="11" t="s">
        <v>16</v>
      </c>
    </row>
    <row r="271" spans="1:11" x14ac:dyDescent="0.25">
      <c r="A271" s="3" t="s">
        <v>136</v>
      </c>
      <c r="B271" s="10" t="s">
        <v>152</v>
      </c>
      <c r="C271" s="3" t="s">
        <v>126</v>
      </c>
      <c r="D271" s="3">
        <v>20000</v>
      </c>
      <c r="E271" s="3">
        <f>E210+3</f>
        <v>276</v>
      </c>
      <c r="F271" s="12">
        <v>42037</v>
      </c>
      <c r="G271" s="11" t="s">
        <v>17</v>
      </c>
      <c r="H271" s="11" t="s">
        <v>148</v>
      </c>
      <c r="I271" s="3" t="s">
        <v>147</v>
      </c>
      <c r="J271" s="3" t="s">
        <v>149</v>
      </c>
    </row>
    <row r="272" spans="1:11" x14ac:dyDescent="0.25">
      <c r="A272" s="10"/>
      <c r="B272" s="10"/>
      <c r="C272" s="10"/>
      <c r="E272" s="10"/>
      <c r="F272" s="10"/>
      <c r="G272" s="10"/>
      <c r="H272" s="10"/>
      <c r="I272" s="10"/>
      <c r="J272" s="10"/>
    </row>
    <row r="273" spans="1:10" x14ac:dyDescent="0.25">
      <c r="A273" s="4" t="s">
        <v>3</v>
      </c>
      <c r="B273" s="3" t="s">
        <v>122</v>
      </c>
      <c r="C273" s="3" t="s">
        <v>123</v>
      </c>
      <c r="D273" s="3" t="s">
        <v>13</v>
      </c>
      <c r="E273" s="11" t="s">
        <v>5</v>
      </c>
      <c r="F273" s="11" t="s">
        <v>14</v>
      </c>
      <c r="G273" s="11" t="s">
        <v>15</v>
      </c>
      <c r="H273" s="11" t="s">
        <v>124</v>
      </c>
      <c r="I273" s="11" t="s">
        <v>125</v>
      </c>
      <c r="J273" s="11" t="s">
        <v>16</v>
      </c>
    </row>
    <row r="274" spans="1:10" x14ac:dyDescent="0.25">
      <c r="A274" s="3" t="s">
        <v>128</v>
      </c>
      <c r="B274" s="10" t="s">
        <v>152</v>
      </c>
      <c r="C274" s="3" t="s">
        <v>126</v>
      </c>
      <c r="D274" s="3">
        <v>20000</v>
      </c>
      <c r="E274" s="3">
        <f>E210+3</f>
        <v>276</v>
      </c>
      <c r="F274" s="12">
        <v>42037</v>
      </c>
      <c r="G274" s="11" t="s">
        <v>17</v>
      </c>
      <c r="H274" s="11" t="s">
        <v>148</v>
      </c>
      <c r="I274" s="3" t="s">
        <v>147</v>
      </c>
      <c r="J274" s="3" t="s">
        <v>149</v>
      </c>
    </row>
    <row r="275" spans="1:10" x14ac:dyDescent="0.25">
      <c r="A275" s="10"/>
      <c r="B275" s="10"/>
      <c r="C275" s="10"/>
      <c r="E275" s="10"/>
      <c r="F275" s="10"/>
      <c r="G275" s="10"/>
      <c r="H275" s="10"/>
      <c r="I275" s="10"/>
      <c r="J275" s="10"/>
    </row>
    <row r="276" spans="1:10" x14ac:dyDescent="0.25">
      <c r="A276" s="4" t="s">
        <v>3</v>
      </c>
      <c r="B276" s="3" t="s">
        <v>122</v>
      </c>
      <c r="C276" s="3" t="s">
        <v>123</v>
      </c>
      <c r="D276" s="3" t="s">
        <v>13</v>
      </c>
      <c r="E276" s="11" t="s">
        <v>5</v>
      </c>
      <c r="F276" s="11" t="s">
        <v>14</v>
      </c>
      <c r="G276" s="11" t="s">
        <v>15</v>
      </c>
      <c r="H276" s="11" t="s">
        <v>124</v>
      </c>
      <c r="I276" s="11" t="s">
        <v>125</v>
      </c>
      <c r="J276" s="11" t="s">
        <v>16</v>
      </c>
    </row>
    <row r="277" spans="1:10" x14ac:dyDescent="0.25">
      <c r="A277" s="3" t="s">
        <v>137</v>
      </c>
      <c r="B277" s="10" t="s">
        <v>152</v>
      </c>
      <c r="C277" s="3" t="s">
        <v>126</v>
      </c>
      <c r="D277" s="3">
        <v>20000</v>
      </c>
      <c r="E277" s="3">
        <f>E210+4</f>
        <v>277</v>
      </c>
      <c r="F277" s="12">
        <v>42037</v>
      </c>
      <c r="G277" s="11" t="s">
        <v>17</v>
      </c>
      <c r="H277" s="11" t="s">
        <v>148</v>
      </c>
      <c r="I277" s="3" t="s">
        <v>147</v>
      </c>
      <c r="J277" s="3" t="s">
        <v>149</v>
      </c>
    </row>
    <row r="278" spans="1:10" x14ac:dyDescent="0.25">
      <c r="A278" s="10"/>
      <c r="B278" s="10"/>
      <c r="C278" s="10"/>
      <c r="E278" s="10"/>
      <c r="F278" s="10"/>
      <c r="G278" s="10"/>
      <c r="H278" s="10"/>
      <c r="I278" s="10"/>
      <c r="J278" s="10"/>
    </row>
    <row r="279" spans="1:10" x14ac:dyDescent="0.25">
      <c r="A279" s="4" t="s">
        <v>3</v>
      </c>
      <c r="B279" s="3" t="s">
        <v>122</v>
      </c>
      <c r="C279" s="3" t="s">
        <v>123</v>
      </c>
      <c r="D279" s="3" t="s">
        <v>13</v>
      </c>
      <c r="E279" s="11" t="s">
        <v>5</v>
      </c>
      <c r="F279" s="11" t="s">
        <v>14</v>
      </c>
      <c r="G279" s="11" t="s">
        <v>15</v>
      </c>
      <c r="H279" s="11" t="s">
        <v>124</v>
      </c>
      <c r="I279" s="11" t="s">
        <v>125</v>
      </c>
      <c r="J279" s="11" t="s">
        <v>16</v>
      </c>
    </row>
    <row r="280" spans="1:10" x14ac:dyDescent="0.25">
      <c r="A280" s="3" t="s">
        <v>129</v>
      </c>
      <c r="B280" s="10" t="s">
        <v>152</v>
      </c>
      <c r="C280" s="3" t="s">
        <v>126</v>
      </c>
      <c r="D280" s="3">
        <v>20000</v>
      </c>
      <c r="E280" s="3">
        <f>E210+5</f>
        <v>278</v>
      </c>
      <c r="F280" s="12">
        <v>42037</v>
      </c>
      <c r="G280" s="11" t="s">
        <v>17</v>
      </c>
      <c r="H280" s="11" t="s">
        <v>148</v>
      </c>
      <c r="I280" s="3" t="s">
        <v>147</v>
      </c>
      <c r="J280" s="3" t="s">
        <v>149</v>
      </c>
    </row>
    <row r="281" spans="1:10" x14ac:dyDescent="0.25">
      <c r="A281" s="10"/>
      <c r="B281" s="10"/>
      <c r="C281" s="10"/>
      <c r="E281" s="10"/>
      <c r="F281" s="10"/>
      <c r="G281" s="10"/>
      <c r="H281" s="10"/>
      <c r="I281" s="10"/>
      <c r="J281" s="10"/>
    </row>
    <row r="282" spans="1:10" x14ac:dyDescent="0.25">
      <c r="A282" s="4" t="s">
        <v>3</v>
      </c>
      <c r="B282" s="3" t="s">
        <v>122</v>
      </c>
      <c r="C282" s="3" t="s">
        <v>123</v>
      </c>
      <c r="D282" s="3" t="s">
        <v>13</v>
      </c>
      <c r="E282" s="11" t="s">
        <v>5</v>
      </c>
      <c r="F282" s="11" t="s">
        <v>14</v>
      </c>
      <c r="G282" s="11" t="s">
        <v>15</v>
      </c>
      <c r="H282" s="11" t="s">
        <v>124</v>
      </c>
      <c r="I282" s="11" t="s">
        <v>125</v>
      </c>
      <c r="J282" s="11" t="s">
        <v>16</v>
      </c>
    </row>
    <row r="283" spans="1:10" x14ac:dyDescent="0.25">
      <c r="A283" s="3" t="s">
        <v>134</v>
      </c>
      <c r="B283" s="10" t="s">
        <v>152</v>
      </c>
      <c r="C283" s="3" t="s">
        <v>126</v>
      </c>
      <c r="D283" s="3">
        <v>20000</v>
      </c>
      <c r="E283" s="3">
        <f>E210+6</f>
        <v>279</v>
      </c>
      <c r="F283" s="12">
        <v>42037</v>
      </c>
      <c r="G283" s="11" t="s">
        <v>17</v>
      </c>
      <c r="H283" s="11" t="s">
        <v>148</v>
      </c>
      <c r="I283" s="3" t="s">
        <v>147</v>
      </c>
      <c r="J283" s="3" t="s">
        <v>149</v>
      </c>
    </row>
    <row r="285" spans="1:10" x14ac:dyDescent="0.25">
      <c r="A285" s="4" t="s">
        <v>3</v>
      </c>
      <c r="B285" s="3" t="s">
        <v>122</v>
      </c>
      <c r="C285" s="3" t="s">
        <v>123</v>
      </c>
      <c r="D285" s="3" t="s">
        <v>13</v>
      </c>
      <c r="E285" s="11" t="s">
        <v>5</v>
      </c>
      <c r="F285" s="11" t="s">
        <v>14</v>
      </c>
      <c r="G285" s="11" t="s">
        <v>15</v>
      </c>
      <c r="H285" s="11" t="s">
        <v>124</v>
      </c>
      <c r="I285" s="11" t="s">
        <v>125</v>
      </c>
      <c r="J285" s="11" t="s">
        <v>16</v>
      </c>
    </row>
    <row r="286" spans="1:10" x14ac:dyDescent="0.25">
      <c r="A286" s="3" t="s">
        <v>131</v>
      </c>
      <c r="B286" s="10" t="s">
        <v>152</v>
      </c>
      <c r="C286" s="3" t="s">
        <v>126</v>
      </c>
      <c r="D286" s="3">
        <v>20000</v>
      </c>
      <c r="E286" s="3">
        <f>E210+7</f>
        <v>280</v>
      </c>
      <c r="F286" s="12">
        <v>42037</v>
      </c>
      <c r="G286" s="11" t="s">
        <v>17</v>
      </c>
      <c r="H286" s="11" t="s">
        <v>148</v>
      </c>
      <c r="I286" s="3" t="s">
        <v>147</v>
      </c>
      <c r="J286" s="3" t="s">
        <v>149</v>
      </c>
    </row>
    <row r="287" spans="1:10" x14ac:dyDescent="0.25">
      <c r="A287" s="10"/>
      <c r="B287" s="10"/>
      <c r="C287" s="10"/>
      <c r="E287" s="10"/>
      <c r="F287" s="10"/>
      <c r="G287" s="10"/>
      <c r="H287" s="10"/>
      <c r="I287" s="10"/>
      <c r="J287" s="10"/>
    </row>
    <row r="288" spans="1:10" x14ac:dyDescent="0.25">
      <c r="A288" s="4" t="s">
        <v>3</v>
      </c>
      <c r="B288" s="3" t="s">
        <v>122</v>
      </c>
      <c r="C288" s="3" t="s">
        <v>123</v>
      </c>
      <c r="D288" s="3" t="s">
        <v>13</v>
      </c>
      <c r="E288" s="11" t="s">
        <v>5</v>
      </c>
      <c r="F288" s="11" t="s">
        <v>14</v>
      </c>
      <c r="G288" s="11" t="s">
        <v>15</v>
      </c>
      <c r="H288" s="11" t="s">
        <v>124</v>
      </c>
      <c r="I288" s="11" t="s">
        <v>125</v>
      </c>
      <c r="J288" s="11" t="s">
        <v>16</v>
      </c>
    </row>
    <row r="289" spans="1:10" x14ac:dyDescent="0.25">
      <c r="A289" s="3" t="s">
        <v>138</v>
      </c>
      <c r="B289" s="10" t="s">
        <v>152</v>
      </c>
      <c r="C289" s="3" t="s">
        <v>126</v>
      </c>
      <c r="D289" s="3">
        <v>20000</v>
      </c>
      <c r="E289" s="3">
        <f>E210+8</f>
        <v>281</v>
      </c>
      <c r="F289" s="12">
        <v>42037</v>
      </c>
      <c r="G289" s="11" t="s">
        <v>17</v>
      </c>
      <c r="H289" s="11" t="s">
        <v>148</v>
      </c>
      <c r="I289" s="3" t="s">
        <v>147</v>
      </c>
      <c r="J289" s="3" t="s">
        <v>149</v>
      </c>
    </row>
    <row r="290" spans="1:10" x14ac:dyDescent="0.25">
      <c r="A290" s="10"/>
      <c r="B290" s="10"/>
      <c r="C290" s="10"/>
      <c r="E290" s="10"/>
      <c r="F290" s="10"/>
      <c r="G290" s="10"/>
      <c r="H290" s="10"/>
      <c r="I290" s="10"/>
      <c r="J290" s="10"/>
    </row>
    <row r="291" spans="1:10" x14ac:dyDescent="0.25">
      <c r="A291" s="4" t="s">
        <v>3</v>
      </c>
      <c r="B291" s="3" t="s">
        <v>122</v>
      </c>
      <c r="C291" s="3" t="s">
        <v>123</v>
      </c>
      <c r="D291" s="3" t="s">
        <v>13</v>
      </c>
      <c r="E291" s="11" t="s">
        <v>5</v>
      </c>
      <c r="F291" s="11" t="s">
        <v>14</v>
      </c>
      <c r="G291" s="11" t="s">
        <v>15</v>
      </c>
      <c r="H291" s="11" t="s">
        <v>124</v>
      </c>
      <c r="I291" s="11" t="s">
        <v>125</v>
      </c>
      <c r="J291" s="11" t="s">
        <v>16</v>
      </c>
    </row>
    <row r="292" spans="1:10" x14ac:dyDescent="0.25">
      <c r="A292" s="3" t="s">
        <v>130</v>
      </c>
      <c r="B292" s="10" t="s">
        <v>152</v>
      </c>
      <c r="C292" s="3" t="s">
        <v>126</v>
      </c>
      <c r="D292" s="3">
        <v>20000</v>
      </c>
      <c r="E292" s="3">
        <f>E210</f>
        <v>273</v>
      </c>
      <c r="F292" s="12">
        <v>42037</v>
      </c>
      <c r="G292" s="11" t="s">
        <v>17</v>
      </c>
      <c r="H292" s="11" t="s">
        <v>148</v>
      </c>
      <c r="I292" s="3" t="s">
        <v>147</v>
      </c>
      <c r="J292" s="3" t="s">
        <v>149</v>
      </c>
    </row>
    <row r="293" spans="1:10" x14ac:dyDescent="0.25">
      <c r="A293" s="10"/>
      <c r="B293" s="10"/>
      <c r="C293" s="10"/>
      <c r="E293" s="10"/>
      <c r="F293" s="10"/>
      <c r="G293" s="10"/>
      <c r="H293" s="10"/>
      <c r="I293" s="10"/>
      <c r="J293" s="10"/>
    </row>
    <row r="294" spans="1:10" x14ac:dyDescent="0.25">
      <c r="A294" s="4" t="s">
        <v>3</v>
      </c>
      <c r="B294" s="3" t="s">
        <v>122</v>
      </c>
      <c r="C294" s="3" t="s">
        <v>123</v>
      </c>
      <c r="D294" s="3" t="s">
        <v>13</v>
      </c>
      <c r="E294" s="11" t="s">
        <v>5</v>
      </c>
      <c r="F294" s="11" t="s">
        <v>14</v>
      </c>
      <c r="G294" s="11" t="s">
        <v>15</v>
      </c>
      <c r="H294" s="11" t="s">
        <v>124</v>
      </c>
      <c r="I294" s="11" t="s">
        <v>125</v>
      </c>
      <c r="J294" s="11" t="s">
        <v>16</v>
      </c>
    </row>
    <row r="295" spans="1:10" x14ac:dyDescent="0.25">
      <c r="A295" s="3" t="s">
        <v>132</v>
      </c>
      <c r="B295" s="10" t="s">
        <v>152</v>
      </c>
      <c r="C295" s="3" t="s">
        <v>126</v>
      </c>
      <c r="D295" s="3">
        <v>20000</v>
      </c>
      <c r="E295" s="3">
        <f>E210</f>
        <v>273</v>
      </c>
      <c r="F295" s="12">
        <v>42037</v>
      </c>
      <c r="G295" s="11" t="s">
        <v>17</v>
      </c>
      <c r="H295" s="11" t="s">
        <v>148</v>
      </c>
      <c r="I295" s="3" t="s">
        <v>147</v>
      </c>
      <c r="J295" s="3" t="s">
        <v>149</v>
      </c>
    </row>
    <row r="296" spans="1:10" x14ac:dyDescent="0.25">
      <c r="A296" s="10"/>
      <c r="B296" s="10"/>
      <c r="C296" s="10"/>
      <c r="E296" s="10"/>
      <c r="F296" s="10"/>
      <c r="G296" s="10"/>
      <c r="H296" s="10"/>
      <c r="I296" s="10"/>
      <c r="J296" s="10"/>
    </row>
    <row r="297" spans="1:10" x14ac:dyDescent="0.25">
      <c r="A297" s="4" t="s">
        <v>3</v>
      </c>
      <c r="B297" s="3" t="s">
        <v>122</v>
      </c>
      <c r="C297" s="3" t="s">
        <v>123</v>
      </c>
      <c r="D297" s="3" t="s">
        <v>13</v>
      </c>
      <c r="E297" s="11" t="s">
        <v>5</v>
      </c>
      <c r="F297" s="11" t="s">
        <v>14</v>
      </c>
      <c r="G297" s="11" t="s">
        <v>15</v>
      </c>
      <c r="H297" s="11" t="s">
        <v>124</v>
      </c>
      <c r="I297" s="11" t="s">
        <v>125</v>
      </c>
      <c r="J297" s="11" t="s">
        <v>16</v>
      </c>
    </row>
    <row r="298" spans="1:10" x14ac:dyDescent="0.25">
      <c r="A298" s="3" t="s">
        <v>133</v>
      </c>
      <c r="B298" s="10" t="s">
        <v>152</v>
      </c>
      <c r="C298" s="3" t="s">
        <v>126</v>
      </c>
      <c r="D298" s="3">
        <v>20000</v>
      </c>
      <c r="E298" s="3">
        <f>E210</f>
        <v>273</v>
      </c>
      <c r="F298" s="12">
        <v>42037</v>
      </c>
      <c r="G298" s="11" t="s">
        <v>17</v>
      </c>
      <c r="H298" s="11" t="s">
        <v>148</v>
      </c>
      <c r="I298" s="3" t="s">
        <v>147</v>
      </c>
      <c r="J298" s="3" t="s">
        <v>149</v>
      </c>
    </row>
    <row r="299" spans="1:10" x14ac:dyDescent="0.25">
      <c r="A299" s="10"/>
      <c r="B299" s="10"/>
      <c r="C299" s="10"/>
      <c r="D299" s="3" t="s">
        <v>214</v>
      </c>
      <c r="E299" s="10"/>
      <c r="F299" s="10"/>
      <c r="G299" s="10"/>
      <c r="H299" s="10"/>
      <c r="I299" s="10"/>
      <c r="J299" s="10"/>
    </row>
    <row r="300" spans="1:10" x14ac:dyDescent="0.25">
      <c r="A300" s="4" t="s">
        <v>3</v>
      </c>
      <c r="B300" s="3" t="s">
        <v>214</v>
      </c>
    </row>
    <row r="301" spans="1:10" ht="15.75" x14ac:dyDescent="0.25">
      <c r="A301" s="3" t="s">
        <v>213</v>
      </c>
      <c r="B301" s="13" t="s">
        <v>154</v>
      </c>
      <c r="D301" s="14" t="s">
        <v>226</v>
      </c>
    </row>
    <row r="303" spans="1:10" x14ac:dyDescent="0.25">
      <c r="A303" s="4" t="s">
        <v>3</v>
      </c>
      <c r="B303" s="3" t="s">
        <v>214</v>
      </c>
      <c r="C303" s="3" t="s">
        <v>215</v>
      </c>
    </row>
    <row r="304" spans="1:10" ht="15.75" x14ac:dyDescent="0.25">
      <c r="A304" s="3" t="s">
        <v>213</v>
      </c>
      <c r="B304" s="13" t="s">
        <v>154</v>
      </c>
      <c r="C304" s="3" t="s">
        <v>216</v>
      </c>
    </row>
    <row r="306" spans="1:4" x14ac:dyDescent="0.25">
      <c r="A306" s="4" t="s">
        <v>3</v>
      </c>
      <c r="B306" s="3" t="s">
        <v>214</v>
      </c>
      <c r="C306" s="3" t="s">
        <v>215</v>
      </c>
    </row>
    <row r="307" spans="1:4" ht="15.75" x14ac:dyDescent="0.25">
      <c r="A307" s="3" t="s">
        <v>217</v>
      </c>
      <c r="B307" s="13" t="s">
        <v>154</v>
      </c>
      <c r="C307" s="3" t="s">
        <v>216</v>
      </c>
    </row>
    <row r="309" spans="1:4" x14ac:dyDescent="0.25">
      <c r="A309" s="3" t="s">
        <v>3</v>
      </c>
      <c r="B309" s="3" t="s">
        <v>214</v>
      </c>
      <c r="C309" s="3" t="s">
        <v>214</v>
      </c>
    </row>
    <row r="310" spans="1:4" ht="15.75" x14ac:dyDescent="0.25">
      <c r="A310" s="3" t="s">
        <v>219</v>
      </c>
      <c r="B310" s="13" t="s">
        <v>154</v>
      </c>
      <c r="C310" s="3" t="s">
        <v>216</v>
      </c>
    </row>
    <row r="312" spans="1:4" x14ac:dyDescent="0.25">
      <c r="A312" s="4" t="s">
        <v>3</v>
      </c>
      <c r="B312" s="3" t="s">
        <v>214</v>
      </c>
      <c r="C312" s="3" t="s">
        <v>215</v>
      </c>
    </row>
    <row r="313" spans="1:4" ht="15.75" x14ac:dyDescent="0.25">
      <c r="A313" s="3" t="s">
        <v>218</v>
      </c>
      <c r="B313" s="13" t="s">
        <v>154</v>
      </c>
      <c r="C313" s="3" t="s">
        <v>216</v>
      </c>
    </row>
    <row r="315" spans="1:4" x14ac:dyDescent="0.25">
      <c r="A315" s="4" t="s">
        <v>3</v>
      </c>
      <c r="B315" s="3" t="s">
        <v>214</v>
      </c>
      <c r="C315" s="3" t="s">
        <v>215</v>
      </c>
      <c r="D315" s="3" t="s">
        <v>12</v>
      </c>
    </row>
    <row r="316" spans="1:4" ht="15.75" x14ac:dyDescent="0.25">
      <c r="A316" s="3" t="s">
        <v>220</v>
      </c>
      <c r="B316" s="13" t="s">
        <v>154</v>
      </c>
      <c r="C316" s="3" t="s">
        <v>216</v>
      </c>
      <c r="D316" s="3" t="s">
        <v>152</v>
      </c>
    </row>
    <row r="318" spans="1:4" x14ac:dyDescent="0.25">
      <c r="A318" s="4" t="s">
        <v>3</v>
      </c>
      <c r="B318" s="3" t="s">
        <v>214</v>
      </c>
      <c r="C318" s="3" t="s">
        <v>215</v>
      </c>
      <c r="D318" s="3" t="s">
        <v>12</v>
      </c>
    </row>
    <row r="319" spans="1:4" ht="15.75" x14ac:dyDescent="0.25">
      <c r="A319" s="3" t="s">
        <v>220</v>
      </c>
      <c r="B319" s="13" t="s">
        <v>154</v>
      </c>
      <c r="C319" s="3" t="s">
        <v>216</v>
      </c>
      <c r="D319" s="3" t="s">
        <v>152</v>
      </c>
    </row>
    <row r="321" spans="1:9" x14ac:dyDescent="0.25">
      <c r="A321" s="4" t="s">
        <v>3</v>
      </c>
      <c r="B321" s="3" t="s">
        <v>214</v>
      </c>
      <c r="C321" s="3" t="s">
        <v>215</v>
      </c>
      <c r="D321" s="3" t="s">
        <v>12</v>
      </c>
    </row>
    <row r="322" spans="1:9" ht="15.75" x14ac:dyDescent="0.25">
      <c r="A322" s="3" t="s">
        <v>222</v>
      </c>
      <c r="B322" s="13" t="s">
        <v>154</v>
      </c>
      <c r="C322" s="3" t="s">
        <v>223</v>
      </c>
      <c r="D322" s="3" t="s">
        <v>152</v>
      </c>
    </row>
    <row r="324" spans="1:9" x14ac:dyDescent="0.25">
      <c r="A324" s="4" t="s">
        <v>3</v>
      </c>
      <c r="B324" s="3" t="s">
        <v>214</v>
      </c>
      <c r="D324" s="3" t="s">
        <v>12</v>
      </c>
    </row>
    <row r="325" spans="1:9" ht="15.75" x14ac:dyDescent="0.25">
      <c r="A325" s="3" t="s">
        <v>224</v>
      </c>
      <c r="B325" s="13" t="s">
        <v>154</v>
      </c>
      <c r="D325" s="3" t="s">
        <v>152</v>
      </c>
    </row>
    <row r="327" spans="1:9" x14ac:dyDescent="0.25">
      <c r="A327" s="4" t="s">
        <v>3</v>
      </c>
      <c r="B327" s="3" t="s">
        <v>214</v>
      </c>
      <c r="D327" s="3" t="s">
        <v>12</v>
      </c>
    </row>
    <row r="328" spans="1:9" ht="15.75" x14ac:dyDescent="0.25">
      <c r="A328" s="3" t="s">
        <v>225</v>
      </c>
      <c r="B328" s="13" t="s">
        <v>154</v>
      </c>
      <c r="D328" s="3" t="s">
        <v>152</v>
      </c>
    </row>
    <row r="330" spans="1:9" x14ac:dyDescent="0.25">
      <c r="A330" s="4" t="s">
        <v>3</v>
      </c>
      <c r="B330" s="3" t="s">
        <v>214</v>
      </c>
    </row>
    <row r="331" spans="1:9" ht="15.75" x14ac:dyDescent="0.25">
      <c r="A331" s="3" t="s">
        <v>227</v>
      </c>
      <c r="B331" s="13" t="s">
        <v>154</v>
      </c>
    </row>
    <row r="333" spans="1:9" x14ac:dyDescent="0.25">
      <c r="A333" s="4" t="s">
        <v>3</v>
      </c>
      <c r="B333" s="3" t="s">
        <v>214</v>
      </c>
      <c r="C333" s="3" t="s">
        <v>215</v>
      </c>
    </row>
    <row r="334" spans="1:9" ht="15.75" x14ac:dyDescent="0.25">
      <c r="A334" s="3" t="s">
        <v>228</v>
      </c>
      <c r="B334" s="13" t="s">
        <v>154</v>
      </c>
      <c r="C334" s="3" t="s">
        <v>216</v>
      </c>
    </row>
    <row r="336" spans="1:9" s="4" customFormat="1" x14ac:dyDescent="0.25">
      <c r="A336" s="8"/>
      <c r="B336" s="8"/>
      <c r="C336" s="8"/>
      <c r="D336" s="8"/>
      <c r="E336" s="8"/>
      <c r="F336" s="8"/>
      <c r="G336" s="8"/>
      <c r="H336" s="3"/>
      <c r="I336" s="3"/>
    </row>
    <row r="337" spans="1:9" s="4" customFormat="1" x14ac:dyDescent="0.25">
      <c r="A337" s="4" t="s">
        <v>3</v>
      </c>
      <c r="B337" s="4" t="s">
        <v>7</v>
      </c>
      <c r="C337" s="4" t="s">
        <v>21</v>
      </c>
      <c r="D337" s="4" t="s">
        <v>23</v>
      </c>
      <c r="E337" s="4" t="s">
        <v>9</v>
      </c>
      <c r="F337" s="4" t="s">
        <v>22</v>
      </c>
      <c r="G337" s="4" t="s">
        <v>24</v>
      </c>
    </row>
    <row r="338" spans="1:9" s="4" customFormat="1" x14ac:dyDescent="0.25">
      <c r="A338" s="8" t="s">
        <v>171</v>
      </c>
      <c r="B338" s="8">
        <v>12500</v>
      </c>
      <c r="C338" s="8">
        <v>711</v>
      </c>
      <c r="D338" s="8">
        <v>311</v>
      </c>
      <c r="E338" s="8">
        <v>1000</v>
      </c>
      <c r="F338" s="8">
        <v>712</v>
      </c>
      <c r="G338" s="8">
        <v>312</v>
      </c>
      <c r="H338" s="3"/>
      <c r="I338" s="3"/>
    </row>
    <row r="339" spans="1:9" s="4" customFormat="1" x14ac:dyDescent="0.25">
      <c r="A339" s="8" t="s">
        <v>172</v>
      </c>
      <c r="B339" s="8">
        <v>17500</v>
      </c>
      <c r="C339" s="8">
        <v>721</v>
      </c>
      <c r="D339" s="8">
        <v>321</v>
      </c>
      <c r="E339" s="8">
        <v>2000</v>
      </c>
      <c r="F339" s="8">
        <v>722</v>
      </c>
      <c r="G339" s="8">
        <v>322</v>
      </c>
      <c r="H339" s="3"/>
      <c r="I339" s="3"/>
    </row>
    <row r="340" spans="1:9" s="4" customFormat="1" x14ac:dyDescent="0.25">
      <c r="A340" s="8" t="s">
        <v>173</v>
      </c>
      <c r="B340" s="8">
        <v>25000</v>
      </c>
      <c r="C340" s="8">
        <v>731</v>
      </c>
      <c r="D340" s="8">
        <v>331</v>
      </c>
      <c r="E340" s="8">
        <v>3000</v>
      </c>
      <c r="F340" s="8">
        <v>732</v>
      </c>
      <c r="G340" s="8">
        <v>332</v>
      </c>
      <c r="H340" s="3"/>
      <c r="I340" s="3"/>
    </row>
    <row r="341" spans="1:9" s="4" customFormat="1" x14ac:dyDescent="0.25">
      <c r="A341" s="8" t="s">
        <v>174</v>
      </c>
      <c r="B341" s="8">
        <v>30000</v>
      </c>
      <c r="C341" s="8">
        <v>741</v>
      </c>
      <c r="D341" s="8">
        <v>341</v>
      </c>
      <c r="E341" s="8">
        <v>4000</v>
      </c>
      <c r="F341" s="8">
        <v>742</v>
      </c>
      <c r="G341" s="8">
        <v>342</v>
      </c>
      <c r="H341" s="3"/>
      <c r="I341" s="3"/>
    </row>
    <row r="342" spans="1:9" s="4" customFormat="1" x14ac:dyDescent="0.25">
      <c r="A342" s="8" t="s">
        <v>175</v>
      </c>
      <c r="B342" s="8">
        <v>35000</v>
      </c>
      <c r="C342" s="8">
        <v>751</v>
      </c>
      <c r="D342" s="8">
        <v>351</v>
      </c>
      <c r="E342" s="8">
        <v>5000</v>
      </c>
      <c r="F342" s="8">
        <v>752</v>
      </c>
      <c r="G342" s="8">
        <v>352</v>
      </c>
      <c r="H342" s="3"/>
      <c r="I342" s="3"/>
    </row>
    <row r="343" spans="1:9" s="4" customFormat="1" x14ac:dyDescent="0.25">
      <c r="A343" s="4" t="s">
        <v>3</v>
      </c>
      <c r="B343" s="4" t="s">
        <v>7</v>
      </c>
      <c r="C343" s="4" t="s">
        <v>177</v>
      </c>
      <c r="D343" s="4" t="s">
        <v>21</v>
      </c>
      <c r="E343" s="4" t="s">
        <v>40</v>
      </c>
      <c r="F343" s="4" t="s">
        <v>23</v>
      </c>
      <c r="G343" s="4" t="s">
        <v>43</v>
      </c>
    </row>
    <row r="344" spans="1:9" s="4" customFormat="1" x14ac:dyDescent="0.25">
      <c r="A344" s="8" t="s">
        <v>176</v>
      </c>
      <c r="B344" s="8">
        <v>12500</v>
      </c>
      <c r="C344" s="8">
        <v>17500</v>
      </c>
      <c r="D344" s="8">
        <v>761</v>
      </c>
      <c r="E344" s="8">
        <v>765</v>
      </c>
      <c r="F344" s="8">
        <v>361</v>
      </c>
      <c r="G344" s="8">
        <v>365</v>
      </c>
    </row>
    <row r="345" spans="1:9" s="4" customFormat="1" x14ac:dyDescent="0.25">
      <c r="A345" s="4" t="s">
        <v>3</v>
      </c>
      <c r="B345" s="4" t="s">
        <v>9</v>
      </c>
      <c r="C345" s="4" t="s">
        <v>178</v>
      </c>
      <c r="D345" s="4" t="s">
        <v>22</v>
      </c>
      <c r="E345" s="4" t="s">
        <v>41</v>
      </c>
      <c r="F345" s="4" t="s">
        <v>24</v>
      </c>
      <c r="G345" s="4" t="s">
        <v>42</v>
      </c>
    </row>
    <row r="346" spans="1:9" s="4" customFormat="1" x14ac:dyDescent="0.25">
      <c r="A346" s="8" t="s">
        <v>176</v>
      </c>
      <c r="B346" s="8">
        <v>1000</v>
      </c>
      <c r="C346" s="8">
        <v>2000</v>
      </c>
      <c r="D346" s="8">
        <v>762</v>
      </c>
      <c r="E346" s="8">
        <v>766</v>
      </c>
      <c r="F346" s="8">
        <v>362</v>
      </c>
      <c r="G346" s="8">
        <v>366</v>
      </c>
    </row>
    <row r="347" spans="1:9" s="4" customFormat="1" x14ac:dyDescent="0.25">
      <c r="A347" s="4" t="s">
        <v>3</v>
      </c>
      <c r="B347" s="4" t="s">
        <v>7</v>
      </c>
      <c r="C347" s="4" t="s">
        <v>177</v>
      </c>
      <c r="D347" s="4" t="s">
        <v>21</v>
      </c>
      <c r="E347" s="4" t="s">
        <v>40</v>
      </c>
      <c r="F347" s="4" t="s">
        <v>23</v>
      </c>
      <c r="G347" s="4" t="s">
        <v>43</v>
      </c>
    </row>
    <row r="348" spans="1:9" s="4" customFormat="1" x14ac:dyDescent="0.25">
      <c r="A348" s="8" t="s">
        <v>179</v>
      </c>
      <c r="B348" s="8">
        <v>17500</v>
      </c>
      <c r="C348" s="8">
        <v>25000</v>
      </c>
      <c r="D348" s="8">
        <v>771</v>
      </c>
      <c r="E348" s="8">
        <v>775</v>
      </c>
      <c r="F348" s="8">
        <v>371</v>
      </c>
      <c r="G348" s="8">
        <v>375</v>
      </c>
    </row>
    <row r="349" spans="1:9" s="4" customFormat="1" x14ac:dyDescent="0.25">
      <c r="A349" s="4" t="s">
        <v>3</v>
      </c>
      <c r="B349" s="4" t="s">
        <v>9</v>
      </c>
      <c r="C349" s="4" t="s">
        <v>178</v>
      </c>
      <c r="D349" s="4" t="s">
        <v>22</v>
      </c>
      <c r="E349" s="4" t="s">
        <v>41</v>
      </c>
      <c r="F349" s="4" t="s">
        <v>24</v>
      </c>
      <c r="G349" s="4" t="s">
        <v>42</v>
      </c>
    </row>
    <row r="350" spans="1:9" s="4" customFormat="1" x14ac:dyDescent="0.25">
      <c r="A350" s="8" t="s">
        <v>179</v>
      </c>
      <c r="B350" s="8">
        <v>2000</v>
      </c>
      <c r="C350" s="8">
        <v>3000</v>
      </c>
      <c r="D350" s="8">
        <v>772</v>
      </c>
      <c r="E350" s="8">
        <v>776</v>
      </c>
      <c r="F350" s="8">
        <v>372</v>
      </c>
      <c r="G350" s="8">
        <v>376</v>
      </c>
    </row>
    <row r="351" spans="1:9" s="4" customFormat="1" x14ac:dyDescent="0.25">
      <c r="A351" s="4" t="s">
        <v>3</v>
      </c>
      <c r="B351" s="4" t="s">
        <v>13</v>
      </c>
      <c r="C351" s="4" t="s">
        <v>31</v>
      </c>
      <c r="D351" s="4" t="s">
        <v>32</v>
      </c>
    </row>
    <row r="352" spans="1:9" s="8" customFormat="1" x14ac:dyDescent="0.25">
      <c r="A352" s="8" t="s">
        <v>180</v>
      </c>
      <c r="B352" s="8">
        <v>12500</v>
      </c>
      <c r="C352" s="8">
        <v>781</v>
      </c>
      <c r="D352" s="8">
        <v>381</v>
      </c>
    </row>
    <row r="353" spans="1:8" x14ac:dyDescent="0.25">
      <c r="A353" s="4" t="s">
        <v>3</v>
      </c>
      <c r="B353" s="4" t="s">
        <v>29</v>
      </c>
      <c r="C353" s="4" t="s">
        <v>0</v>
      </c>
      <c r="D353" s="4" t="s">
        <v>30</v>
      </c>
      <c r="E353" s="4" t="s">
        <v>1</v>
      </c>
    </row>
    <row r="354" spans="1:8" s="8" customFormat="1" x14ac:dyDescent="0.25">
      <c r="A354" s="8" t="s">
        <v>181</v>
      </c>
      <c r="B354" s="8" t="s">
        <v>139</v>
      </c>
      <c r="C354" s="8" t="s">
        <v>151</v>
      </c>
      <c r="D354" s="8" t="s">
        <v>141</v>
      </c>
      <c r="E354" s="8" t="s">
        <v>151</v>
      </c>
    </row>
    <row r="355" spans="1:8" s="8" customFormat="1" x14ac:dyDescent="0.25"/>
    <row r="356" spans="1:8" s="8" customFormat="1" x14ac:dyDescent="0.25">
      <c r="A356" s="4" t="s">
        <v>3</v>
      </c>
      <c r="B356" s="4" t="s">
        <v>183</v>
      </c>
      <c r="C356" s="4" t="s">
        <v>184</v>
      </c>
      <c r="D356" s="4" t="s">
        <v>185</v>
      </c>
      <c r="E356" s="4" t="s">
        <v>186</v>
      </c>
      <c r="F356" s="4" t="s">
        <v>187</v>
      </c>
      <c r="G356" s="4"/>
    </row>
    <row r="357" spans="1:8" s="16" customFormat="1" x14ac:dyDescent="0.25">
      <c r="A357" s="15" t="s">
        <v>182</v>
      </c>
      <c r="B357" s="15">
        <f>B338</f>
        <v>12500</v>
      </c>
      <c r="C357" s="15">
        <f>B339</f>
        <v>17500</v>
      </c>
      <c r="D357" s="15">
        <f>B342</f>
        <v>35000</v>
      </c>
      <c r="E357" s="15">
        <f>C344</f>
        <v>17500</v>
      </c>
      <c r="F357" s="15">
        <f>C348</f>
        <v>25000</v>
      </c>
      <c r="G357" s="15"/>
      <c r="H357" s="15"/>
    </row>
    <row r="358" spans="1:8" s="8" customFormat="1" x14ac:dyDescent="0.25">
      <c r="A358" s="4" t="s">
        <v>3</v>
      </c>
      <c r="B358" s="4" t="s">
        <v>188</v>
      </c>
      <c r="C358" s="4" t="s">
        <v>189</v>
      </c>
      <c r="D358" s="4" t="s">
        <v>190</v>
      </c>
      <c r="E358" s="4" t="s">
        <v>191</v>
      </c>
      <c r="F358" s="4" t="s">
        <v>192</v>
      </c>
      <c r="G358" s="4"/>
    </row>
    <row r="359" spans="1:8" s="16" customFormat="1" x14ac:dyDescent="0.25">
      <c r="A359" s="15" t="s">
        <v>182</v>
      </c>
      <c r="B359" s="15">
        <f>C338</f>
        <v>711</v>
      </c>
      <c r="C359" s="15">
        <f>C339</f>
        <v>721</v>
      </c>
      <c r="D359" s="15">
        <f>C342</f>
        <v>751</v>
      </c>
      <c r="E359" s="15">
        <f>E344</f>
        <v>765</v>
      </c>
      <c r="F359" s="15">
        <f>E348</f>
        <v>775</v>
      </c>
      <c r="G359" s="15"/>
      <c r="H359" s="15"/>
    </row>
    <row r="360" spans="1:8" s="8" customFormat="1" x14ac:dyDescent="0.25">
      <c r="A360" s="4" t="s">
        <v>3</v>
      </c>
      <c r="B360" s="4" t="s">
        <v>193</v>
      </c>
      <c r="C360" s="4" t="s">
        <v>194</v>
      </c>
      <c r="D360" s="4" t="s">
        <v>195</v>
      </c>
      <c r="E360" s="4" t="s">
        <v>196</v>
      </c>
      <c r="F360" s="4" t="s">
        <v>197</v>
      </c>
      <c r="G360" s="4"/>
    </row>
    <row r="361" spans="1:8" s="16" customFormat="1" x14ac:dyDescent="0.25">
      <c r="A361" s="15" t="s">
        <v>182</v>
      </c>
      <c r="B361" s="15">
        <f>D338</f>
        <v>311</v>
      </c>
      <c r="C361" s="15">
        <f>D339</f>
        <v>321</v>
      </c>
      <c r="D361" s="15">
        <f>D342</f>
        <v>351</v>
      </c>
      <c r="E361" s="15">
        <f>G344</f>
        <v>365</v>
      </c>
      <c r="F361" s="15">
        <f>G348</f>
        <v>375</v>
      </c>
      <c r="G361" s="15"/>
      <c r="H361" s="15"/>
    </row>
    <row r="362" spans="1:8" s="8" customFormat="1" x14ac:dyDescent="0.25">
      <c r="A362" s="4" t="s">
        <v>3</v>
      </c>
      <c r="B362" s="4" t="s">
        <v>208</v>
      </c>
      <c r="C362" s="4" t="s">
        <v>209</v>
      </c>
      <c r="D362" s="4" t="s">
        <v>210</v>
      </c>
      <c r="E362" s="4" t="s">
        <v>211</v>
      </c>
      <c r="F362" s="4" t="s">
        <v>212</v>
      </c>
      <c r="G362" s="4"/>
    </row>
    <row r="363" spans="1:8" s="16" customFormat="1" x14ac:dyDescent="0.25">
      <c r="A363" s="15" t="s">
        <v>182</v>
      </c>
      <c r="B363" s="15">
        <f>E338</f>
        <v>1000</v>
      </c>
      <c r="C363" s="15">
        <f>E339</f>
        <v>2000</v>
      </c>
      <c r="D363" s="15">
        <f>E342</f>
        <v>5000</v>
      </c>
      <c r="E363" s="15">
        <f>C346</f>
        <v>2000</v>
      </c>
      <c r="F363" s="15">
        <f>C350</f>
        <v>3000</v>
      </c>
      <c r="G363" s="15"/>
      <c r="H363" s="15"/>
    </row>
    <row r="364" spans="1:8" s="8" customFormat="1" x14ac:dyDescent="0.25">
      <c r="A364" s="4" t="s">
        <v>3</v>
      </c>
      <c r="B364" s="4" t="s">
        <v>198</v>
      </c>
      <c r="C364" s="4" t="s">
        <v>199</v>
      </c>
      <c r="D364" s="4" t="s">
        <v>200</v>
      </c>
      <c r="E364" s="4" t="s">
        <v>201</v>
      </c>
      <c r="F364" s="4" t="s">
        <v>202</v>
      </c>
      <c r="G364" s="4"/>
    </row>
    <row r="365" spans="1:8" s="16" customFormat="1" x14ac:dyDescent="0.25">
      <c r="A365" s="15" t="s">
        <v>182</v>
      </c>
      <c r="B365" s="15">
        <f>F338</f>
        <v>712</v>
      </c>
      <c r="C365" s="15">
        <f>F339</f>
        <v>722</v>
      </c>
      <c r="D365" s="15">
        <f>F342</f>
        <v>752</v>
      </c>
      <c r="E365" s="15">
        <f>E346</f>
        <v>766</v>
      </c>
      <c r="F365" s="15">
        <f>E350</f>
        <v>776</v>
      </c>
      <c r="G365" s="15"/>
      <c r="H365" s="15"/>
    </row>
    <row r="366" spans="1:8" s="8" customFormat="1" x14ac:dyDescent="0.25">
      <c r="A366" s="4" t="s">
        <v>3</v>
      </c>
      <c r="B366" s="4" t="s">
        <v>203</v>
      </c>
      <c r="C366" s="4" t="s">
        <v>204</v>
      </c>
      <c r="D366" s="4" t="s">
        <v>205</v>
      </c>
      <c r="E366" s="4" t="s">
        <v>206</v>
      </c>
      <c r="F366" s="4" t="s">
        <v>207</v>
      </c>
      <c r="G366" s="4"/>
    </row>
    <row r="367" spans="1:8" s="16" customFormat="1" x14ac:dyDescent="0.25">
      <c r="A367" s="15" t="s">
        <v>182</v>
      </c>
      <c r="B367" s="15">
        <f>G338</f>
        <v>312</v>
      </c>
      <c r="C367" s="15">
        <f>G339</f>
        <v>322</v>
      </c>
      <c r="D367" s="15">
        <f>G342</f>
        <v>352</v>
      </c>
      <c r="E367" s="15">
        <f>G346</f>
        <v>366</v>
      </c>
      <c r="F367" s="15">
        <f>G350</f>
        <v>376</v>
      </c>
      <c r="G367" s="15"/>
      <c r="H367" s="15"/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B6" sqref="B6"/>
    </sheetView>
  </sheetViews>
  <sheetFormatPr defaultRowHeight="15" x14ac:dyDescent="0.25"/>
  <cols>
    <col min="1" max="1" width="12.5703125" style="3" customWidth="1"/>
    <col min="2" max="2" width="26.7109375" style="3" customWidth="1"/>
    <col min="3" max="4" width="16.85546875" style="3" bestFit="1" customWidth="1"/>
    <col min="5" max="5" width="18.5703125" style="3" bestFit="1" customWidth="1"/>
    <col min="6" max="6" width="9.42578125" style="3" bestFit="1" customWidth="1"/>
    <col min="7" max="7" width="17" style="3" bestFit="1" customWidth="1"/>
    <col min="8" max="16384" width="9.140625" style="3"/>
  </cols>
  <sheetData>
    <row r="1" spans="1:4" s="4" customFormat="1" x14ac:dyDescent="0.25">
      <c r="A1" s="4" t="s">
        <v>3</v>
      </c>
      <c r="B1" s="4" t="s">
        <v>256</v>
      </c>
      <c r="C1" s="4" t="s">
        <v>245</v>
      </c>
    </row>
    <row r="2" spans="1:4" s="4" customFormat="1" ht="15.75" x14ac:dyDescent="0.25">
      <c r="A2" s="3" t="s">
        <v>157</v>
      </c>
      <c r="B2" s="1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17">
        <v>1.5</v>
      </c>
      <c r="D2" s="3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D23" sqref="D23"/>
    </sheetView>
  </sheetViews>
  <sheetFormatPr defaultRowHeight="15" x14ac:dyDescent="0.25"/>
  <cols>
    <col min="1" max="1" width="12.5703125" style="3" customWidth="1"/>
    <col min="2" max="2" width="26.7109375" style="3" customWidth="1"/>
    <col min="3" max="4" width="16.85546875" style="3" bestFit="1" customWidth="1"/>
    <col min="5" max="5" width="18.5703125" style="3" bestFit="1" customWidth="1"/>
    <col min="6" max="6" width="9.42578125" style="3" bestFit="1" customWidth="1"/>
    <col min="7" max="7" width="17" style="3" bestFit="1" customWidth="1"/>
    <col min="8" max="16384" width="9.140625" style="3"/>
  </cols>
  <sheetData>
    <row r="1" spans="1:4" s="4" customFormat="1" x14ac:dyDescent="0.25">
      <c r="A1" s="4" t="s">
        <v>3</v>
      </c>
      <c r="B1" s="4" t="s">
        <v>256</v>
      </c>
      <c r="C1" s="4" t="s">
        <v>245</v>
      </c>
    </row>
    <row r="2" spans="1:4" s="4" customFormat="1" ht="15.75" x14ac:dyDescent="0.25">
      <c r="A2" s="3" t="s">
        <v>157</v>
      </c>
      <c r="B2" s="1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17">
        <v>1.5</v>
      </c>
      <c r="D2" s="3"/>
    </row>
    <row r="4" spans="1:4" s="4" customFormat="1" x14ac:dyDescent="0.25">
      <c r="A4" s="4" t="s">
        <v>246</v>
      </c>
      <c r="B4" s="4" t="s">
        <v>247</v>
      </c>
    </row>
    <row r="5" spans="1:4" x14ac:dyDescent="0.25">
      <c r="A5" s="3" t="s">
        <v>249</v>
      </c>
      <c r="B5" s="3" t="s">
        <v>248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B1" sqref="B1:C2"/>
    </sheetView>
  </sheetViews>
  <sheetFormatPr defaultRowHeight="15" x14ac:dyDescent="0.25"/>
  <cols>
    <col min="1" max="1" width="12.5703125" style="3" customWidth="1"/>
    <col min="2" max="2" width="26.7109375" style="3" customWidth="1"/>
    <col min="3" max="4" width="16.85546875" style="3" bestFit="1" customWidth="1"/>
    <col min="5" max="5" width="18.5703125" style="3" bestFit="1" customWidth="1"/>
    <col min="6" max="6" width="9.42578125" style="3" bestFit="1" customWidth="1"/>
    <col min="7" max="7" width="17" style="3" bestFit="1" customWidth="1"/>
    <col min="8" max="16384" width="9.140625" style="3"/>
  </cols>
  <sheetData>
    <row r="1" spans="1:4" s="4" customFormat="1" x14ac:dyDescent="0.25">
      <c r="A1" s="4" t="s">
        <v>3</v>
      </c>
      <c r="B1" s="4" t="s">
        <v>256</v>
      </c>
      <c r="C1" s="4" t="s">
        <v>245</v>
      </c>
    </row>
    <row r="2" spans="1:4" s="4" customFormat="1" ht="15.75" x14ac:dyDescent="0.25">
      <c r="A2" s="3" t="s">
        <v>157</v>
      </c>
      <c r="B2" s="1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17">
        <v>1.5</v>
      </c>
      <c r="D2" s="3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  <pageSetUpPr fitToPage="1"/>
  </sheetPr>
  <dimension ref="A1:F5"/>
  <sheetViews>
    <sheetView zoomScaleNormal="100" workbookViewId="0">
      <selection activeCell="B1" sqref="B1:C2"/>
    </sheetView>
  </sheetViews>
  <sheetFormatPr defaultRowHeight="15" x14ac:dyDescent="0.25"/>
  <cols>
    <col min="1" max="1" width="12.5703125" style="3" customWidth="1"/>
    <col min="2" max="2" width="26.7109375" style="3" customWidth="1"/>
    <col min="3" max="4" width="16.85546875" style="3" bestFit="1" customWidth="1"/>
    <col min="5" max="5" width="18.5703125" style="3" bestFit="1" customWidth="1"/>
    <col min="6" max="6" width="9.42578125" style="3" bestFit="1" customWidth="1"/>
    <col min="7" max="7" width="17" style="3" bestFit="1" customWidth="1"/>
    <col min="8" max="16384" width="9.140625" style="3"/>
  </cols>
  <sheetData>
    <row r="1" spans="1:6" s="4" customFormat="1" x14ac:dyDescent="0.25">
      <c r="A1" s="4" t="s">
        <v>3</v>
      </c>
      <c r="B1" s="4" t="s">
        <v>256</v>
      </c>
      <c r="C1" s="4" t="s">
        <v>245</v>
      </c>
    </row>
    <row r="2" spans="1:6" s="4" customFormat="1" ht="15.75" x14ac:dyDescent="0.25">
      <c r="A2" s="3" t="s">
        <v>157</v>
      </c>
      <c r="B2" s="17" t="str">
        <f ca="1">UPPER(MID(RIGHT(CELL("filename",A1),LEN(CELL("filename",A1))-SEARCH("]",CELL("filename",A1))),1,FIND(".data",RIGHT(CELL("filename",A1),LEN(CELL("filename",A1))-SEARCH("]",CELL("filename",A1))-1))))</f>
        <v>LONDON</v>
      </c>
      <c r="C2" s="17">
        <v>1.5</v>
      </c>
      <c r="D2" s="3"/>
    </row>
    <row r="4" spans="1:6" s="2" customFormat="1" x14ac:dyDescent="0.25">
      <c r="A4" s="2" t="s">
        <v>3</v>
      </c>
      <c r="B4" s="2" t="s">
        <v>25</v>
      </c>
    </row>
    <row r="5" spans="1:6" s="2" customFormat="1" x14ac:dyDescent="0.25">
      <c r="A5" s="1" t="s">
        <v>157</v>
      </c>
      <c r="B5" s="1" t="s">
        <v>221</v>
      </c>
      <c r="E5" s="1"/>
      <c r="F5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6" t="s">
        <v>167</v>
      </c>
    </row>
    <row r="2" spans="1:1" ht="409.5" x14ac:dyDescent="0.25">
      <c r="A2" s="7" t="s">
        <v>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</vt:lpstr>
      <vt:lpstr>GLOBAL.data</vt:lpstr>
      <vt:lpstr>LIVE.data</vt:lpstr>
      <vt:lpstr>SYSTEST.data</vt:lpstr>
      <vt:lpstr>UAT.data</vt:lpstr>
      <vt:lpstr>LONDON.data</vt:lpstr>
      <vt:lpstr>Log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 Englezou</cp:lastModifiedBy>
  <cp:lastPrinted>2015-02-16T08:39:14Z</cp:lastPrinted>
  <dcterms:created xsi:type="dcterms:W3CDTF">2014-11-14T13:52:54Z</dcterms:created>
  <dcterms:modified xsi:type="dcterms:W3CDTF">2015-03-04T13:20:23Z</dcterms:modified>
</cp:coreProperties>
</file>